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24226"/>
  <xr:revisionPtr revIDLastSave="0" documentId="8_{CEE665FA-C2F4-44FA-A828-30959E26EBD5}" xr6:coauthVersionLast="47" xr6:coauthVersionMax="47" xr10:uidLastSave="{00000000-0000-0000-0000-000000000000}"/>
  <bookViews>
    <workbookView xWindow="240" yWindow="15" windowWidth="16095" windowHeight="9660" firstSheet="4" activeTab="2" xr2:uid="{00000000-000D-0000-FFFF-FFFF00000000}"/>
  </bookViews>
  <sheets>
    <sheet name="Raw" sheetId="1" r:id="rId1"/>
    <sheet name="Top buyers" sheetId="3" r:id="rId2"/>
    <sheet name="Monthly sales trends" sheetId="5" r:id="rId3"/>
    <sheet name="Most sold product" sheetId="4" r:id="rId4"/>
    <sheet name="Order Vs Production" sheetId="6" r:id="rId5"/>
    <sheet name="Defected Product" sheetId="7" r:id="rId6"/>
    <sheet name="Products defect rate" sheetId="8" r:id="rId7"/>
  </sheets>
  <definedNames>
    <definedName name="Slicer_Buyer">#N/A</definedName>
  </definedNames>
  <calcPr calcId="191028"/>
  <pivotCaches>
    <pivotCache cacheId="19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6" l="1"/>
  <c r="E7" i="6"/>
  <c r="E8" i="6"/>
  <c r="E9" i="6"/>
  <c r="E10" i="6"/>
  <c r="E6" i="6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</calcChain>
</file>

<file path=xl/sharedStrings.xml><?xml version="1.0" encoding="utf-8"?>
<sst xmlns="http://schemas.openxmlformats.org/spreadsheetml/2006/main" count="3066" uniqueCount="1038">
  <si>
    <t>Order ID</t>
  </si>
  <si>
    <t>Buyer</t>
  </si>
  <si>
    <t>Product Type</t>
  </si>
  <si>
    <t>Order Quantity</t>
  </si>
  <si>
    <t>Production Quantity</t>
  </si>
  <si>
    <t>Defects</t>
  </si>
  <si>
    <t>Delivery Date</t>
  </si>
  <si>
    <t>Date</t>
  </si>
  <si>
    <t>Actual Shipment Date</t>
  </si>
  <si>
    <t>Price per Unit</t>
  </si>
  <si>
    <t>Sales</t>
  </si>
  <si>
    <t>ORD0001</t>
  </si>
  <si>
    <t>H&amp;M</t>
  </si>
  <si>
    <t>Jeans</t>
  </si>
  <si>
    <t>ORD0002</t>
  </si>
  <si>
    <t>Uniqlo</t>
  </si>
  <si>
    <t>Hoodie</t>
  </si>
  <si>
    <t>ORD0003</t>
  </si>
  <si>
    <t>Gap</t>
  </si>
  <si>
    <t>ORD0004</t>
  </si>
  <si>
    <t>Shirt</t>
  </si>
  <si>
    <t>ORD0005</t>
  </si>
  <si>
    <t>T-shirt</t>
  </si>
  <si>
    <t>ORD0006</t>
  </si>
  <si>
    <t>ORD0007</t>
  </si>
  <si>
    <t>Zara</t>
  </si>
  <si>
    <t>ORD0008</t>
  </si>
  <si>
    <t>Primark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</si>
  <si>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</si>
  <si>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</si>
  <si>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</si>
  <si>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</si>
  <si>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</si>
  <si>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</si>
  <si>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</si>
  <si>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</si>
  <si>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</si>
  <si>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</si>
  <si>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</si>
  <si>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</si>
  <si>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</si>
  <si>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</si>
  <si>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</si>
  <si>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</si>
  <si>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</si>
  <si>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Jacket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</si>
  <si>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</si>
  <si>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</si>
  <si>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</si>
  <si>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</si>
  <si>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</si>
  <si>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</si>
  <si>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</si>
  <si>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</si>
  <si>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</si>
  <si>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</si>
  <si>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</si>
  <si>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</si>
  <si>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</si>
  <si>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</si>
  <si>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</si>
  <si>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</si>
  <si>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</si>
  <si>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</si>
  <si>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</si>
  <si>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</si>
  <si>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</si>
  <si>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</si>
  <si>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</si>
  <si>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</si>
  <si>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</si>
  <si>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</si>
  <si>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</si>
  <si>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</si>
  <si>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</si>
  <si>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</si>
  <si>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</si>
  <si>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</si>
  <si>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</si>
  <si>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</si>
  <si>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</si>
  <si>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</si>
  <si>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</si>
  <si>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</si>
  <si>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</si>
  <si>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</si>
  <si>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</si>
  <si>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</si>
  <si>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</si>
  <si>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</si>
  <si>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</si>
  <si>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</si>
  <si>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</si>
  <si>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</si>
  <si>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</si>
  <si>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</si>
  <si>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</si>
  <si>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</si>
  <si>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</si>
  <si>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</si>
  <si>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</si>
  <si>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</si>
  <si>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</si>
  <si>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</si>
  <si>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</si>
  <si>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</si>
  <si>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</si>
  <si>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</si>
  <si>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</si>
  <si>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</si>
  <si>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</si>
  <si>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</si>
  <si>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</si>
  <si>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</si>
  <si>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</si>
  <si>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</si>
  <si>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</si>
  <si>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</si>
  <si>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</si>
  <si>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</si>
  <si>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</si>
  <si>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</si>
  <si>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</si>
  <si>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</si>
  <si>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</si>
  <si>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</si>
  <si>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</si>
  <si>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</si>
  <si>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</si>
  <si>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</si>
  <si>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</si>
  <si>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</si>
  <si>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</si>
  <si>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</si>
  <si>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</si>
  <si>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</si>
  <si>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</si>
  <si>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</si>
  <si>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</si>
  <si>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</si>
  <si>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</si>
  <si>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</si>
  <si>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</si>
  <si>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</si>
  <si>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</si>
  <si>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</si>
  <si>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</si>
  <si>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</si>
  <si>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</si>
  <si>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</si>
  <si>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</si>
  <si>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</si>
  <si>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</si>
  <si>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</si>
  <si>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</si>
  <si>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</si>
  <si>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</si>
  <si>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</si>
  <si>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</si>
  <si>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</si>
  <si>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</si>
  <si>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</si>
  <si>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</si>
  <si>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</si>
  <si>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</si>
  <si>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</si>
  <si>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</si>
  <si>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</si>
  <si>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</si>
  <si>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</si>
  <si>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</si>
  <si>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</si>
  <si>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</si>
  <si>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</si>
  <si>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</si>
  <si>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</si>
  <si>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</si>
  <si>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</si>
  <si>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</si>
  <si>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</si>
  <si>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</si>
  <si>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</si>
  <si>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</si>
  <si>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</si>
  <si>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</si>
  <si>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</si>
  <si>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</si>
  <si>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</si>
  <si>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</si>
  <si>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</si>
  <si>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</si>
  <si>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</si>
  <si>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</si>
  <si>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</si>
  <si>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</si>
  <si>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</si>
  <si>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</si>
  <si>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</si>
  <si>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</si>
  <si>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</si>
  <si>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</si>
  <si>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</si>
  <si>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</si>
  <si>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</si>
  <si>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</si>
  <si>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</si>
  <si>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</si>
  <si>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</si>
  <si>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</si>
  <si>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</si>
  <si>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</si>
  <si>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</si>
  <si>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</si>
  <si>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</si>
  <si>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</si>
  <si>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</si>
  <si>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</si>
  <si>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</si>
  <si>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</si>
  <si>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</si>
  <si>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</si>
  <si>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</si>
  <si>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</si>
  <si>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</si>
  <si>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</si>
  <si>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</si>
  <si>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</si>
  <si>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</si>
  <si>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</si>
  <si>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</si>
  <si>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</si>
  <si>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</si>
  <si>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</si>
  <si>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</si>
  <si>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</si>
  <si>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</si>
  <si>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</si>
  <si>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</si>
  <si>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</si>
  <si>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</si>
  <si>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</si>
  <si>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</si>
  <si>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</si>
  <si>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</si>
  <si>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</si>
  <si>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</si>
  <si>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</si>
  <si>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</si>
  <si>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</si>
  <si>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</si>
  <si>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</si>
  <si>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</si>
  <si>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</si>
  <si>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</si>
  <si>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</si>
  <si>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</si>
  <si>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</si>
  <si>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</si>
  <si>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</si>
  <si>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</si>
  <si>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</si>
  <si>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</si>
  <si>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</si>
  <si>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</si>
  <si>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</si>
  <si>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</si>
  <si>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</si>
  <si>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</si>
  <si>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</si>
  <si>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</si>
  <si>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</si>
  <si>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</si>
  <si>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</si>
  <si>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</si>
  <si>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</si>
  <si>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</si>
  <si>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</si>
  <si>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</si>
  <si>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</si>
  <si>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</si>
  <si>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</si>
  <si>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</si>
  <si>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</si>
  <si>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</si>
  <si>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</si>
  <si>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</si>
  <si>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</si>
  <si>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</si>
  <si>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</si>
  <si>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</si>
  <si>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</si>
  <si>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</si>
  <si>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</si>
  <si>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</si>
  <si>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</si>
  <si>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</si>
  <si>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</si>
  <si>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</si>
  <si>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</si>
  <si>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</si>
  <si>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</si>
  <si>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</si>
  <si>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</si>
  <si>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</si>
  <si>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</si>
  <si>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</si>
  <si>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</si>
  <si>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</si>
  <si>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</si>
  <si>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</si>
  <si>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</si>
  <si>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</si>
  <si>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</si>
  <si>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</si>
  <si>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</si>
  <si>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</si>
  <si>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</si>
  <si>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</si>
  <si>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</si>
  <si>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</si>
  <si>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</si>
  <si>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</si>
  <si>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</si>
  <si>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</si>
  <si>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</si>
  <si>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</si>
  <si>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</si>
  <si>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</si>
  <si>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</si>
  <si>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</si>
  <si>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</si>
  <si>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</si>
  <si>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</si>
  <si>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</si>
  <si>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</si>
  <si>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</si>
  <si>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</si>
  <si>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</si>
  <si>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</si>
  <si>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</si>
  <si>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</si>
  <si>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</si>
  <si>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</si>
  <si>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</si>
  <si>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</si>
  <si>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</si>
  <si>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</si>
  <si>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</si>
  <si>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</si>
  <si>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</si>
  <si>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</si>
  <si>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</si>
  <si>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</si>
  <si>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</si>
  <si>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</si>
  <si>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</si>
  <si>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</si>
  <si>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</si>
  <si>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</si>
  <si>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</si>
  <si>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</si>
  <si>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</si>
  <si>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</si>
  <si>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</si>
  <si>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</si>
  <si>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</si>
  <si>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</si>
  <si>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</si>
  <si>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</si>
  <si>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</si>
  <si>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</si>
  <si>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</si>
  <si>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</si>
  <si>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</si>
  <si>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</si>
  <si>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</si>
  <si>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</si>
  <si>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</si>
  <si>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</si>
  <si>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</si>
  <si>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</si>
  <si>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</si>
  <si>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</si>
  <si>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</si>
  <si>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</si>
  <si>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</si>
  <si>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</si>
  <si>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</si>
  <si>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</si>
  <si>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</si>
  <si>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</si>
  <si>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</si>
  <si>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</si>
  <si>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</si>
  <si>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</si>
  <si>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</si>
  <si>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</si>
  <si>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</si>
  <si>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</si>
  <si>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</si>
  <si>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</si>
  <si>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</si>
  <si>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</si>
  <si>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</si>
  <si>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</si>
  <si>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</si>
  <si>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</si>
  <si>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</si>
  <si>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</si>
  <si>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</si>
  <si>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</si>
  <si>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</si>
  <si>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</si>
  <si>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</si>
  <si>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</si>
  <si>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</si>
  <si>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</si>
  <si>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</si>
  <si>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</si>
  <si>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</si>
  <si>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</si>
  <si>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</si>
  <si>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</si>
  <si>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</si>
  <si>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</si>
  <si>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</si>
  <si>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</si>
  <si>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</si>
  <si>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</si>
  <si>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</si>
  <si>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</si>
  <si>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</si>
  <si>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</si>
  <si>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</si>
  <si>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</si>
  <si>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</si>
  <si>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</si>
  <si>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</si>
  <si>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</si>
  <si>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</si>
  <si>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</si>
  <si>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</si>
  <si>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</si>
  <si>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</si>
  <si>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</si>
  <si>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</si>
  <si>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</si>
  <si>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</si>
  <si>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</si>
  <si>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</si>
  <si>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</si>
  <si>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</si>
  <si>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</si>
  <si>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</si>
  <si>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</si>
  <si>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</si>
  <si>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</si>
  <si>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</si>
  <si>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</si>
  <si>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</si>
  <si>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</si>
  <si>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</si>
  <si>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</si>
  <si>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</si>
  <si>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</si>
  <si>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</si>
  <si>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</si>
  <si>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</si>
  <si>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</si>
  <si>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</si>
  <si>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</si>
  <si>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</si>
  <si>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</si>
  <si>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</si>
  <si>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</si>
  <si>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</si>
  <si>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</si>
  <si>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</si>
  <si>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</si>
  <si>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</si>
  <si>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</si>
  <si>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</si>
  <si>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</si>
  <si>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</si>
  <si>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</si>
  <si>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</si>
  <si>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</si>
  <si>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</si>
  <si>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</si>
  <si>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</si>
  <si>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</si>
  <si>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</si>
  <si>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</si>
  <si>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</si>
  <si>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</si>
  <si>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</si>
  <si>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</si>
  <si>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</si>
  <si>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</si>
  <si>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</si>
  <si>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</si>
  <si>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</si>
  <si>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</si>
  <si>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</si>
  <si>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</si>
  <si>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</si>
  <si>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</si>
  <si>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</si>
  <si>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</si>
  <si>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</si>
  <si>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</si>
  <si>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</si>
  <si>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</si>
  <si>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</si>
  <si>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</si>
  <si>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</si>
  <si>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</si>
  <si>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</si>
  <si>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</si>
  <si>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</si>
  <si>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</si>
  <si>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</si>
  <si>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</si>
  <si>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</si>
  <si>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</si>
  <si>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</si>
  <si>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</si>
  <si>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</si>
  <si>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</si>
  <si>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</si>
  <si>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</si>
  <si>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</si>
  <si>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</si>
  <si>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</si>
  <si>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</si>
  <si>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</si>
  <si>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</si>
  <si>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</si>
  <si>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</si>
  <si>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</si>
  <si>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</si>
  <si>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</si>
  <si>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</si>
  <si>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</si>
  <si>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</si>
  <si>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</si>
  <si>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</si>
  <si>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</si>
  <si>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</si>
  <si>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</si>
  <si>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</si>
  <si>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</si>
  <si>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</si>
  <si>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</si>
  <si>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</si>
  <si>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</si>
  <si>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</si>
  <si>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</si>
  <si>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</si>
  <si>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</si>
  <si>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</si>
  <si>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</si>
  <si>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</si>
  <si>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</si>
  <si>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</si>
  <si>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</si>
  <si>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</si>
  <si>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</si>
  <si>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</si>
  <si>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</si>
  <si>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</si>
  <si>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</si>
  <si>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</si>
  <si>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</si>
  <si>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</si>
  <si>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</si>
  <si>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</si>
  <si>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</si>
  <si>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</si>
  <si>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</si>
  <si>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</si>
  <si>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</si>
  <si>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</si>
  <si>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</si>
  <si>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</si>
  <si>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</si>
  <si>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</si>
  <si>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</si>
  <si>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</si>
  <si>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</si>
  <si>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</si>
  <si>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</si>
  <si>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</si>
  <si>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</si>
  <si>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</si>
  <si>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</si>
  <si>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</si>
  <si>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</si>
  <si>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</si>
  <si>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</si>
  <si>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</si>
  <si>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</si>
  <si>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</si>
  <si>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</si>
  <si>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</si>
  <si>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</si>
  <si>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</si>
  <si>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</si>
  <si>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</si>
  <si>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</si>
  <si>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</si>
  <si>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</si>
  <si>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</si>
  <si>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</si>
  <si>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</si>
  <si>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</si>
  <si>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</si>
  <si>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</si>
  <si>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</si>
  <si>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</si>
  <si>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</si>
  <si>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</si>
  <si>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</si>
  <si>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</si>
  <si>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</si>
  <si>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</si>
  <si>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</si>
  <si>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</si>
  <si>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</si>
  <si>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</si>
  <si>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</si>
  <si>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</si>
  <si>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</si>
  <si>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</si>
  <si>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</si>
  <si>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</si>
  <si>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</si>
  <si>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</si>
  <si>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</si>
  <si>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</si>
  <si>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</si>
  <si>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</si>
  <si>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</si>
  <si>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</si>
  <si>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</si>
  <si>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</si>
  <si>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</si>
  <si>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</si>
  <si>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</si>
  <si>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</si>
  <si>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</si>
  <si>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</si>
  <si>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</si>
  <si>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</si>
  <si>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</si>
  <si>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</si>
  <si>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</si>
  <si>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</si>
  <si>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</si>
  <si>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</si>
  <si>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</si>
  <si>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</si>
  <si>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</si>
  <si>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</si>
  <si>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</si>
  <si>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</si>
  <si>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</si>
  <si>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</si>
  <si>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</si>
  <si>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</si>
  <si>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</si>
  <si>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</si>
  <si>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</si>
  <si>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</si>
  <si>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</si>
  <si>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</si>
  <si>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</si>
  <si>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</si>
  <si>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</si>
  <si>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</si>
  <si>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</si>
  <si>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</si>
  <si>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</si>
  <si>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</si>
  <si>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</si>
  <si>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</si>
  <si>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</si>
  <si>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</si>
  <si>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</si>
  <si>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</si>
  <si>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</si>
  <si>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</si>
  <si>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</si>
  <si>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</si>
  <si>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</si>
  <si>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</si>
  <si>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</si>
  <si>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</si>
  <si>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</si>
  <si>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</si>
  <si>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</si>
  <si>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</si>
  <si>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</si>
  <si>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</si>
  <si>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</si>
  <si>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</si>
  <si>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</si>
  <si>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</si>
  <si>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</si>
  <si>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</si>
  <si>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</si>
  <si>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</si>
  <si>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</si>
  <si>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</si>
  <si>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</si>
  <si>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</si>
  <si>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</si>
  <si>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</si>
  <si>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</si>
  <si>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</si>
  <si>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</si>
  <si>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</si>
  <si>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</si>
  <si>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</si>
  <si>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</si>
  <si>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</si>
  <si>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</si>
  <si>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</si>
  <si>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</si>
  <si>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</si>
  <si>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</si>
  <si>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</si>
  <si>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</si>
  <si>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</si>
  <si>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</si>
  <si>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</si>
  <si>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</si>
  <si>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</si>
  <si>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</si>
  <si>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</si>
  <si>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</si>
  <si>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</si>
  <si>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</si>
  <si>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</si>
  <si>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</si>
  <si>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</si>
  <si>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</si>
  <si>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</si>
  <si>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</si>
  <si>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</si>
  <si>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</si>
  <si>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</si>
  <si>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</si>
  <si>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</si>
  <si>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</si>
  <si>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</si>
  <si>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</si>
  <si>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</si>
  <si>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</si>
  <si>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</si>
  <si>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</si>
  <si>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</si>
  <si>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</si>
  <si>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</si>
  <si>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</si>
  <si>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</si>
  <si>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</si>
  <si>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</si>
  <si>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</si>
  <si>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</si>
  <si>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</si>
  <si>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</si>
  <si>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</si>
  <si>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</si>
  <si>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</si>
  <si>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</si>
  <si>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</si>
  <si>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</si>
  <si>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</si>
  <si>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</si>
  <si>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</si>
  <si>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</si>
  <si>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</si>
  <si>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</si>
  <si>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</si>
  <si>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</si>
  <si>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</si>
  <si>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</si>
  <si>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</si>
  <si>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</si>
  <si>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</si>
  <si>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</si>
  <si>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</si>
  <si>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</si>
  <si>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</si>
  <si>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</si>
  <si>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</si>
  <si>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</si>
  <si>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</si>
  <si>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</si>
  <si>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</si>
  <si>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</si>
  <si>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</si>
  <si>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</si>
  <si>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</si>
  <si>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</si>
  <si>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</si>
  <si>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</si>
  <si>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</si>
  <si>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</si>
  <si>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</si>
  <si>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</si>
  <si>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</si>
  <si>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</si>
  <si>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</si>
  <si>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</si>
  <si>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</si>
  <si>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</si>
  <si>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</si>
  <si>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</si>
  <si>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</si>
  <si>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</si>
  <si>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</si>
  <si>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</si>
  <si>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</si>
  <si>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</si>
  <si>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</si>
  <si>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</si>
  <si>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</si>
  <si>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</si>
  <si>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</si>
  <si>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</si>
  <si>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</si>
  <si>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</si>
  <si>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</si>
  <si>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</si>
  <si>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</si>
  <si>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</si>
  <si>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</si>
  <si>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</si>
  <si>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</si>
  <si>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</si>
  <si>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</si>
  <si>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</si>
  <si>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</si>
  <si>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</si>
  <si>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</si>
  <si>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</si>
  <si>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</si>
  <si>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</si>
  <si>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</si>
  <si>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</si>
  <si>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</si>
  <si>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</si>
  <si>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</si>
  <si>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</si>
  <si>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</si>
  <si>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</si>
  <si>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</si>
  <si>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</si>
  <si>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</si>
  <si>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</si>
  <si>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</si>
  <si>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</si>
  <si>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</si>
  <si>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</si>
  <si>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</si>
  <si>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</si>
  <si>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</si>
  <si>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</si>
  <si>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</si>
  <si>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</si>
  <si>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</si>
  <si>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</si>
  <si>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</si>
  <si>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</si>
  <si>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</si>
  <si>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</si>
  <si>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</si>
  <si>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</si>
  <si>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</si>
  <si>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</si>
  <si>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</si>
  <si>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</si>
  <si>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</si>
  <si>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</si>
  <si>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</si>
  <si>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</si>
  <si>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</si>
  <si>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</si>
  <si>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</si>
  <si>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</si>
  <si>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</si>
  <si>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</si>
  <si>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</si>
  <si>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</si>
  <si>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</si>
  <si>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</si>
  <si>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</si>
  <si>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</si>
  <si>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</si>
  <si>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</si>
  <si>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</si>
  <si>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</si>
  <si>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</si>
  <si>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</si>
  <si>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</si>
  <si>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</si>
  <si>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</si>
  <si>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</si>
  <si>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</si>
  <si>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</si>
  <si>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</si>
  <si>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</si>
  <si>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</si>
  <si>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</si>
  <si>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</si>
  <si>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</si>
  <si>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</si>
  <si>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</si>
  <si>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</si>
  <si>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</si>
  <si>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</si>
  <si>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</si>
  <si>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</si>
  <si>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</si>
  <si>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</si>
  <si>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</si>
  <si>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</si>
  <si>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</si>
  <si>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</si>
  <si>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</si>
  <si>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</si>
  <si>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</si>
  <si>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</si>
  <si>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</si>
  <si>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</si>
  <si>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</si>
  <si>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</si>
  <si>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</si>
  <si>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</si>
  <si>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</si>
  <si>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</si>
  <si>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</si>
  <si>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</si>
  <si>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</si>
  <si>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</si>
  <si>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</si>
  <si>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</si>
  <si>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</si>
  <si>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</si>
  <si>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</si>
  <si>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</si>
  <si>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</si>
  <si>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</si>
  <si>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</si>
  <si>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</si>
  <si>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</si>
  <si>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</si>
  <si>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</si>
  <si>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</si>
  <si>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</si>
  <si>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</si>
  <si>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</si>
  <si>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</si>
  <si>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</si>
  <si>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</si>
  <si>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</si>
  <si>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</si>
  <si>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</si>
  <si>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</si>
  <si>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</si>
  <si>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</si>
  <si>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</si>
  <si>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</si>
  <si>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</si>
  <si>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</si>
  <si>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</si>
  <si>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</si>
  <si>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</si>
  <si>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</si>
  <si>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</si>
  <si>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</si>
  <si>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</si>
  <si>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</si>
  <si>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</si>
  <si>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</si>
  <si>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</si>
  <si>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</si>
  <si>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</si>
  <si>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</si>
  <si>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</si>
  <si>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</si>
  <si>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</si>
  <si>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</si>
  <si>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</si>
  <si>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</si>
  <si>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</si>
  <si>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</si>
  <si>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</si>
  <si>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</si>
  <si>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</si>
  <si>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</si>
  <si>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</si>
  <si>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</si>
  <si>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</si>
  <si>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</si>
  <si>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</si>
  <si>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</si>
  <si>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</si>
  <si>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</si>
  <si>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</si>
  <si>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</si>
  <si>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</si>
  <si>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</si>
  <si>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</si>
  <si>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</si>
  <si>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</si>
  <si>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</si>
  <si>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</si>
  <si>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</si>
  <si>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Top Buyers by Sales Contribution</t>
  </si>
  <si>
    <t>Total sales</t>
  </si>
  <si>
    <t>Sales Contribution (%)</t>
  </si>
  <si>
    <t>Grand Total</t>
  </si>
  <si>
    <t>Sales Performance by Month</t>
  </si>
  <si>
    <t>Total Sales (Amount)</t>
  </si>
  <si>
    <t>Top Selling Products</t>
  </si>
  <si>
    <t xml:space="preserve">Product </t>
  </si>
  <si>
    <t>Total Sales</t>
  </si>
  <si>
    <t>Production Gap Analysis</t>
  </si>
  <si>
    <t>Total Orders</t>
  </si>
  <si>
    <t>Total Production</t>
  </si>
  <si>
    <t>Defect Analysis</t>
  </si>
  <si>
    <t>Defected product</t>
  </si>
  <si>
    <t>Sum of Defects</t>
  </si>
  <si>
    <t>Uniqlo Total</t>
  </si>
  <si>
    <t>Defects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</si>
</sst>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,,&quot;M&quot;"/>
    <numFmt numFmtId="165" formatCode="[$-409]d\-mmm\-yy;@"/>
    <numFmt numFmtId="166" formatCode="[$-409]mmm\-yy;@"/>
    <numFmt numFmtId="167" formatCode="[&gt;=1000000]0.0,,&quot;M&quot;;[&gt;=1000]0.0,&quot;K&quot;;0"/>
    <numFmt numFmtId="168" formatCode="[$-409]d\-mmm\-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0" xfId="0" pivotButton="1" applyAlignment="1">
      <alignment horizontal="center"/>
    </xf>
    <xf numFmtId="3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8" fontId="1" fillId="0" borderId="1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pivotButton="1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71">
    <dxf>
      <numFmt numFmtId="3" formatCode="#,##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8" formatCode="[$-409]d\-mmm\-yyyy;@"/>
      <alignment horizontal="center" vertical="bottom" textRotation="0" wrapText="0" indent="0" justifyLastLine="0" shrinkToFit="0" readingOrder="0"/>
    </dxf>
    <dxf>
      <numFmt numFmtId="165" formatCode="[$-409]d\-mmm\-yy;@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alignment horizontal="center" vertical="center"/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[&gt;=1000000]0.0,,&quot;M&quot;;[&gt;=1000]0.0,&quot;K&quot;;0"/>
    </dxf>
    <dxf>
      <alignment horizontal="center"/>
    </dxf>
    <dxf>
      <alignment horizontal="center"/>
    </dxf>
    <dxf>
      <alignment horizontal="center"/>
    </dxf>
    <dxf>
      <numFmt numFmtId="164" formatCode="0.00,,&quot;M&quot;"/>
    </dxf>
    <dxf>
      <alignment horizontal="center"/>
    </dxf>
    <dxf>
      <alignment horizontal="center"/>
    </dxf>
    <dxf>
      <numFmt numFmtId="164" formatCode="0.00,,&quot;M&quot;"/>
    </dxf>
    <dxf>
      <numFmt numFmtId="19" formatCode="m/d/yyyy"/>
    </dxf>
    <dxf>
      <numFmt numFmtId="19" formatCode="m/d/yyyy"/>
    </dxf>
    <dxf>
      <numFmt numFmtId="166" formatCode="[$-409]mmm\-yy;@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4" formatCode="0.00,,&quot;M&quot;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[garments_factory_dataset.xlsx]Top buyers!PivotTable2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BUYER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buyers'!$D$5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buyers'!$C$6:$C$11</c:f>
              <c:strCache>
                <c:ptCount val="5"/>
                <c:pt idx="0">
                  <c:v>Primark</c:v>
                </c:pt>
                <c:pt idx="1">
                  <c:v>Gap</c:v>
                </c:pt>
                <c:pt idx="2">
                  <c:v>H&amp;M</c:v>
                </c:pt>
                <c:pt idx="3">
                  <c:v>Uniqlo</c:v>
                </c:pt>
                <c:pt idx="4">
                  <c:v>Zara</c:v>
                </c:pt>
              </c:strCache>
            </c:strRef>
          </c:cat>
          <c:val>
            <c:numRef>
              <c:f>'Top buyers'!$D$6:$D$11</c:f>
              <c:numCache>
                <c:formatCode>0.00,,"M"</c:formatCode>
                <c:ptCount val="5"/>
                <c:pt idx="0">
                  <c:v>8860384.8999999966</c:v>
                </c:pt>
                <c:pt idx="1">
                  <c:v>8629139.5399999954</c:v>
                </c:pt>
                <c:pt idx="2">
                  <c:v>8620279.7899999991</c:v>
                </c:pt>
                <c:pt idx="3">
                  <c:v>7843536.549999998</c:v>
                </c:pt>
                <c:pt idx="4">
                  <c:v>7675089.2699999968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6-D9C2-4096-9C22-E9007ED6018D}"/>
            </c:ext>
          </c:extLst>
        </c:ser>
        <c:ser>
          <c:idx val="1"/>
          <c:order val="1"/>
          <c:tx>
            <c:strRef>
              <c:f>'Top buyers'!$E$5</c:f>
              <c:strCache>
                <c:ptCount val="1"/>
                <c:pt idx="0">
                  <c:v>Sales Contribution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buyers'!$C$6:$C$11</c:f>
              <c:strCache>
                <c:ptCount val="5"/>
                <c:pt idx="0">
                  <c:v>Primark</c:v>
                </c:pt>
                <c:pt idx="1">
                  <c:v>Gap</c:v>
                </c:pt>
                <c:pt idx="2">
                  <c:v>H&amp;M</c:v>
                </c:pt>
                <c:pt idx="3">
                  <c:v>Uniqlo</c:v>
                </c:pt>
                <c:pt idx="4">
                  <c:v>Zara</c:v>
                </c:pt>
              </c:strCache>
            </c:strRef>
          </c:cat>
          <c:val>
            <c:numRef>
              <c:f>'Top buyers'!$E$6:$E$11</c:f>
              <c:numCache>
                <c:formatCode>0.00%</c:formatCode>
                <c:ptCount val="5"/>
                <c:pt idx="0">
                  <c:v>0.21284456054090373</c:v>
                </c:pt>
                <c:pt idx="1">
                  <c:v>0.20728957420771141</c:v>
                </c:pt>
                <c:pt idx="2">
                  <c:v>0.20707674489876668</c:v>
                </c:pt>
                <c:pt idx="3">
                  <c:v>0.18841778420610894</c:v>
                </c:pt>
                <c:pt idx="4">
                  <c:v>0.18437133614650933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07-D9C2-4096-9C22-E9007ED6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2664712"/>
        <c:axId val="1662666760"/>
      </c:barChart>
      <c:catAx>
        <c:axId val="166266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66760"/>
        <c:crosses val="autoZero"/>
        <c:auto val="1"/>
        <c:lblAlgn val="ctr"/>
        <c:lblOffset val="100"/>
        <c:noMultiLvlLbl val="0"/>
      </c:catAx>
      <c:valAx>
        <c:axId val="1662666760"/>
        <c:scaling>
          <c:orientation val="minMax"/>
          <c:min val="5000000"/>
        </c:scaling>
        <c:delete val="0"/>
        <c:axPos val="l"/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66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[garments_factory_dataset.xlsx]Monthly sales trends!PivotTable2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Trends</a:t>
            </a:r>
          </a:p>
        </c:rich>
      </c:tx>
      <c:layout>
        <c:manualLayout>
          <c:xMode val="edge"/>
          <c:yMode val="edge"/>
          <c:x val="0.465532879818594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trends'!$D$5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 trends'!$C$6:$C$19</c:f>
              <c:strCache>
                <c:ptCount val="13"/>
                <c:pt idx="0">
                  <c:v>1/1/2024</c:v>
                </c:pt>
                <c:pt idx="1">
                  <c:v>2/1/2024</c:v>
                </c:pt>
                <c:pt idx="2">
                  <c:v>3/1/2024</c:v>
                </c:pt>
                <c:pt idx="3">
                  <c:v>4/1/2024</c:v>
                </c:pt>
                <c:pt idx="4">
                  <c:v>5/1/2024</c:v>
                </c:pt>
                <c:pt idx="5">
                  <c:v>6/1/2024</c:v>
                </c:pt>
                <c:pt idx="6">
                  <c:v>7/1/2024</c:v>
                </c:pt>
                <c:pt idx="7">
                  <c:v>8/1/2024</c:v>
                </c:pt>
                <c:pt idx="8">
                  <c:v>9/1/2024</c:v>
                </c:pt>
                <c:pt idx="9">
                  <c:v>10/1/2024</c:v>
                </c:pt>
                <c:pt idx="10">
                  <c:v>11/1/2024</c:v>
                </c:pt>
                <c:pt idx="11">
                  <c:v>12/1/2024</c:v>
                </c:pt>
                <c:pt idx="12">
                  <c:v>1/1/2025</c:v>
                </c:pt>
              </c:strCache>
            </c:strRef>
          </c:cat>
          <c:val>
            <c:numRef>
              <c:f>'Monthly sales trends'!$D$6:$D$19</c:f>
              <c:numCache>
                <c:formatCode>0.00,,"M"</c:formatCode>
                <c:ptCount val="13"/>
                <c:pt idx="0">
                  <c:v>3676331.4700000007</c:v>
                </c:pt>
                <c:pt idx="1">
                  <c:v>2936053.5400000005</c:v>
                </c:pt>
                <c:pt idx="2">
                  <c:v>3570726.8400000008</c:v>
                </c:pt>
                <c:pt idx="3">
                  <c:v>3783805.46</c:v>
                </c:pt>
                <c:pt idx="4">
                  <c:v>3901565.0800000005</c:v>
                </c:pt>
                <c:pt idx="5">
                  <c:v>4011732.8100000024</c:v>
                </c:pt>
                <c:pt idx="6">
                  <c:v>3168394.6900000004</c:v>
                </c:pt>
                <c:pt idx="7">
                  <c:v>3105027.5200000014</c:v>
                </c:pt>
                <c:pt idx="8">
                  <c:v>3052430.43</c:v>
                </c:pt>
                <c:pt idx="9">
                  <c:v>3464491.3099999991</c:v>
                </c:pt>
                <c:pt idx="10">
                  <c:v>3105148.2700000005</c:v>
                </c:pt>
                <c:pt idx="11">
                  <c:v>3740859.9899999998</c:v>
                </c:pt>
                <c:pt idx="12">
                  <c:v>111862.64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C-4FC3-A5D1-01F476F1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576647"/>
        <c:axId val="3245575"/>
      </c:lineChart>
      <c:catAx>
        <c:axId val="124657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5575"/>
        <c:crosses val="autoZero"/>
        <c:auto val="1"/>
        <c:lblAlgn val="ctr"/>
        <c:lblOffset val="100"/>
        <c:noMultiLvlLbl val="0"/>
      </c:catAx>
      <c:valAx>
        <c:axId val="3245575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7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[garments_factory_dataset.xlsx]Most sold product!PivotTable1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 Performance</a:t>
            </a:r>
          </a:p>
        </c:rich>
      </c:tx>
      <c:layout>
        <c:manualLayout>
          <c:xMode val="edge"/>
          <c:yMode val="edge"/>
          <c:x val="0.34744444444444444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sold product'!$C$6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sold product'!$B$7:$B$12</c:f>
              <c:strCache>
                <c:ptCount val="5"/>
                <c:pt idx="0">
                  <c:v>Jacket</c:v>
                </c:pt>
                <c:pt idx="1">
                  <c:v>Hoodie</c:v>
                </c:pt>
                <c:pt idx="2">
                  <c:v>Shirt</c:v>
                </c:pt>
                <c:pt idx="3">
                  <c:v>T-shirt</c:v>
                </c:pt>
                <c:pt idx="4">
                  <c:v>Jeans</c:v>
                </c:pt>
              </c:strCache>
            </c:strRef>
          </c:cat>
          <c:val>
            <c:numRef>
              <c:f>'Most sold product'!$C$7:$C$12</c:f>
              <c:numCache>
                <c:formatCode>0.00,,"M"</c:formatCode>
                <c:ptCount val="5"/>
                <c:pt idx="0">
                  <c:v>9052277.5799999982</c:v>
                </c:pt>
                <c:pt idx="1">
                  <c:v>8828702.1999999937</c:v>
                </c:pt>
                <c:pt idx="2">
                  <c:v>8745380.1100000013</c:v>
                </c:pt>
                <c:pt idx="3">
                  <c:v>7574511.4800000004</c:v>
                </c:pt>
                <c:pt idx="4">
                  <c:v>7427558.6799999969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9-41CE-94E1-9EA00529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2394248"/>
        <c:axId val="1672399368"/>
      </c:barChart>
      <c:catAx>
        <c:axId val="1672394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99368"/>
        <c:crosses val="autoZero"/>
        <c:auto val="1"/>
        <c:lblAlgn val="ctr"/>
        <c:lblOffset val="100"/>
        <c:noMultiLvlLbl val="0"/>
      </c:catAx>
      <c:valAx>
        <c:axId val="1672399368"/>
        <c:scaling>
          <c:orientation val="minMax"/>
          <c:min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394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[garments_factory_dataset.xlsx]Order Vs Production!PivotTable3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vs Production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Vs Production'!$C$5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Vs Production'!$B$6:$B$11</c:f>
              <c:strCache>
                <c:ptCount val="5"/>
                <c:pt idx="0">
                  <c:v>Gap</c:v>
                </c:pt>
                <c:pt idx="1">
                  <c:v>H&amp;M</c:v>
                </c:pt>
                <c:pt idx="2">
                  <c:v>Primark</c:v>
                </c:pt>
                <c:pt idx="3">
                  <c:v>Uniqlo</c:v>
                </c:pt>
                <c:pt idx="4">
                  <c:v>Zara</c:v>
                </c:pt>
              </c:strCache>
            </c:strRef>
          </c:cat>
          <c:val>
            <c:numRef>
              <c:f>'Order Vs Production'!$C$6:$C$11</c:f>
              <c:numCache>
                <c:formatCode>[&gt;=1000000]0.0,,"M";[&gt;=1000]0.0,"K";0</c:formatCode>
                <c:ptCount val="5"/>
                <c:pt idx="0">
                  <c:v>593805</c:v>
                </c:pt>
                <c:pt idx="1">
                  <c:v>555885</c:v>
                </c:pt>
                <c:pt idx="2">
                  <c:v>589366</c:v>
                </c:pt>
                <c:pt idx="3">
                  <c:v>543289</c:v>
                </c:pt>
                <c:pt idx="4">
                  <c:v>505842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4-42A8-8F1C-11198B8B0942}"/>
            </c:ext>
          </c:extLst>
        </c:ser>
        <c:ser>
          <c:idx val="1"/>
          <c:order val="1"/>
          <c:tx>
            <c:strRef>
              <c:f>'Order Vs Production'!$D$5</c:f>
              <c:strCache>
                <c:ptCount val="1"/>
                <c:pt idx="0">
                  <c:v>Total Production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Vs Production'!$B$6:$B$11</c:f>
              <c:strCache>
                <c:ptCount val="5"/>
                <c:pt idx="0">
                  <c:v>Gap</c:v>
                </c:pt>
                <c:pt idx="1">
                  <c:v>H&amp;M</c:v>
                </c:pt>
                <c:pt idx="2">
                  <c:v>Primark</c:v>
                </c:pt>
                <c:pt idx="3">
                  <c:v>Uniqlo</c:v>
                </c:pt>
                <c:pt idx="4">
                  <c:v>Zara</c:v>
                </c:pt>
              </c:strCache>
            </c:strRef>
          </c:cat>
          <c:val>
            <c:numRef>
              <c:f>'Order Vs Production'!$D$6:$D$11</c:f>
              <c:numCache>
                <c:formatCode>[&gt;=1000000]0.0,,"M";[&gt;=1000]0.0,"K";0</c:formatCode>
                <c:ptCount val="5"/>
                <c:pt idx="0">
                  <c:v>579004</c:v>
                </c:pt>
                <c:pt idx="1">
                  <c:v>537626</c:v>
                </c:pt>
                <c:pt idx="2">
                  <c:v>572710</c:v>
                </c:pt>
                <c:pt idx="3">
                  <c:v>530580</c:v>
                </c:pt>
                <c:pt idx="4">
                  <c:v>490129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74-42A8-8F1C-11198B8B0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481671"/>
        <c:axId val="1055737863"/>
      </c:barChart>
      <c:catAx>
        <c:axId val="1010481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737863"/>
        <c:crosses val="autoZero"/>
        <c:auto val="1"/>
        <c:lblAlgn val="ctr"/>
        <c:lblOffset val="100"/>
        <c:noMultiLvlLbl val="0"/>
      </c:catAx>
      <c:valAx>
        <c:axId val="105573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]0.0,,&quot;M&quot;;[&gt;=1000]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8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 Shortage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'Order Vs Production'!B6:B10</c:f>
              <c:strCache>
                <c:ptCount val="5"/>
                <c:pt idx="0">
                  <c:v>Gap</c:v>
                </c:pt>
                <c:pt idx="1">
                  <c:v>H&amp;M</c:v>
                </c:pt>
                <c:pt idx="2">
                  <c:v>Primark</c:v>
                </c:pt>
                <c:pt idx="3">
                  <c:v>Uniqlo</c:v>
                </c:pt>
                <c:pt idx="4">
                  <c:v>Zara</c:v>
                </c:pt>
              </c:strCache>
            </c:strRef>
          </c:cat>
          <c:val>
            <c:numRef>
              <c:f>'Order Vs Production'!$E$6:$E$11</c:f>
              <c:numCache>
                <c:formatCode>[&gt;=1000000]0.0,,"M";[&gt;=1000]0.0,"K";0</c:formatCode>
                <c:ptCount val="6"/>
                <c:pt idx="0">
                  <c:v>14801</c:v>
                </c:pt>
                <c:pt idx="1">
                  <c:v>18259</c:v>
                </c:pt>
                <c:pt idx="2">
                  <c:v>16656</c:v>
                </c:pt>
                <c:pt idx="3">
                  <c:v>12709</c:v>
                </c:pt>
                <c:pt idx="4">
                  <c:v>15713</c:v>
                </c:pt>
                <c:pt idx="5">
                  <c:v>78138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1-4B8C-B655-48820E075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633543"/>
        <c:axId val="247820807"/>
      </c:barChart>
      <c:catAx>
        <c:axId val="24563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20807"/>
        <c:crosses val="autoZero"/>
        <c:auto val="1"/>
        <c:lblAlgn val="ctr"/>
        <c:lblOffset val="100"/>
        <c:noMultiLvlLbl val="0"/>
      </c:catAx>
      <c:valAx>
        <c:axId val="247820807"/>
        <c:scaling>
          <c:orientation val="minMax"/>
          <c:max val="20000"/>
          <c:min val="10000"/>
        </c:scaling>
        <c:delete val="0"/>
        <c:axPos val="l"/>
        <c:numFmt formatCode="[&gt;=1000000]0.0,,&quot;M&quot;;[&gt;=1000]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633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[garments_factory_dataset.xlsx]Products defect rate!PivotTable1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defect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'Products defect rate'!$C$5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'Products defect rate'!$B$6:$B$11</c:f>
              <c:strCache>
                <c:ptCount val="5"/>
                <c:pt idx="0">
                  <c:v>Hoodie</c:v>
                </c:pt>
                <c:pt idx="1">
                  <c:v>Jacket</c:v>
                </c:pt>
                <c:pt idx="2">
                  <c:v>Jeans</c:v>
                </c:pt>
                <c:pt idx="3">
                  <c:v>Shirt</c:v>
                </c:pt>
                <c:pt idx="4">
                  <c:v>T-shirt</c:v>
                </c:pt>
              </c:strCache>
            </c:strRef>
          </c:cat>
          <c:val>
            <c:numRef>
              <c:f>'Products defect rate'!$C$6:$C$11</c:f>
              <c:numCache>
                <c:formatCode>0.00%</c:formatCode>
                <c:ptCount val="5"/>
                <c:pt idx="0">
                  <c:v>0.21546715821003604</c:v>
                </c:pt>
                <c:pt idx="1">
                  <c:v>0.2149487335626471</c:v>
                </c:pt>
                <c:pt idx="2">
                  <c:v>0.16512236467470912</c:v>
                </c:pt>
                <c:pt idx="3">
                  <c:v>0.20911439903885717</c:v>
                </c:pt>
                <c:pt idx="4">
                  <c:v>0.1953473445137506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C-43F9-A2BF-2B73EB631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03912"/>
        <c:axId val="29819400"/>
      </c:barChart>
      <c:catAx>
        <c:axId val="2060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9400"/>
        <c:crosses val="autoZero"/>
        <c:auto val="1"/>
        <c:lblAlgn val="ctr"/>
        <c:lblOffset val="100"/>
        <c:noMultiLvlLbl val="0"/>
      </c:catAx>
      <c:valAx>
        <c:axId val="29819400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</xdr:row>
      <xdr:rowOff>76200</xdr:rowOff>
    </xdr:from>
    <xdr:to>
      <xdr:col>10</xdr:col>
      <xdr:colOff>38100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4BDD01-5A9B-64ED-9564-B8766EDC6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742950</xdr:colOff>
      <xdr:row>17</xdr:row>
      <xdr:rowOff>66675</xdr:rowOff>
    </xdr:from>
    <xdr:to>
      <xdr:col>5</xdr:col>
      <xdr:colOff>76200</xdr:colOff>
      <xdr:row>21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49F53-9F89-3A43-E3BE-854D6E62A2E5}"/>
            </a:ext>
            <a:ext uri="{147F2762-F138-4A5C-976F-8EAC2B608ADB}">
              <a16:predDERef xmlns:a16="http://schemas.microsoft.com/office/drawing/2014/main" pred="{524BDD01-5A9B-64ED-9564-B8766EDC6848}"/>
            </a:ext>
          </a:extLst>
        </xdr:cNvPr>
        <xdr:cNvSpPr txBox="1"/>
      </xdr:nvSpPr>
      <xdr:spPr>
        <a:xfrm>
          <a:off x="1504950" y="3886200"/>
          <a:ext cx="3419475" cy="714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0" i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contribution is fairly balanced across buyers (~18–21%), reducing business risk and ensuring stable demand across clients.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3</xdr:row>
      <xdr:rowOff>238125</xdr:rowOff>
    </xdr:from>
    <xdr:to>
      <xdr:col>12</xdr:col>
      <xdr:colOff>323850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C6321-A872-C37B-B62B-856B8A06A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180975</xdr:rowOff>
    </xdr:from>
    <xdr:to>
      <xdr:col>9</xdr:col>
      <xdr:colOff>142875</xdr:colOff>
      <xdr:row>18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8B6E52-2F02-243A-8BBD-7191E3550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11</xdr:row>
      <xdr:rowOff>161925</xdr:rowOff>
    </xdr:from>
    <xdr:to>
      <xdr:col>4</xdr:col>
      <xdr:colOff>85725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C5501C-DEC0-5824-97BA-B4D7853A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11</xdr:row>
      <xdr:rowOff>171450</xdr:rowOff>
    </xdr:from>
    <xdr:to>
      <xdr:col>8</xdr:col>
      <xdr:colOff>371475</xdr:colOff>
      <xdr:row>24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64C1EA-7E0C-232F-C466-C2A6ADBDF4A2}"/>
            </a:ext>
            <a:ext uri="{147F2762-F138-4A5C-976F-8EAC2B608ADB}">
              <a16:predDERef xmlns:a16="http://schemas.microsoft.com/office/drawing/2014/main" pred="{2CC5501C-DEC0-5824-97BA-B4D7853A1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5</xdr:row>
      <xdr:rowOff>0</xdr:rowOff>
    </xdr:from>
    <xdr:to>
      <xdr:col>7</xdr:col>
      <xdr:colOff>276225</xdr:colOff>
      <xdr:row>14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Buyer">
              <a:extLst>
                <a:ext uri="{FF2B5EF4-FFF2-40B4-BE49-F238E27FC236}">
                  <a16:creationId xmlns:a16="http://schemas.microsoft.com/office/drawing/2014/main" id="{89F2F1FF-3FC2-AC47-4711-4555D74C70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y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3575" y="581025"/>
              <a:ext cx="1828800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152400</xdr:rowOff>
    </xdr:from>
    <xdr:to>
      <xdr:col>10</xdr:col>
      <xdr:colOff>66675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3B57B-FC16-B1B1-8FC9-1916EA502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665536689812" createdVersion="8" refreshedVersion="8" minRefreshableVersion="3" recordCount="1000" xr:uid="{57FEA00E-46BF-4110-B101-55A5E8C969E7}">
  <cacheSource type="worksheet">
    <worksheetSource name="Table2"/>
  </cacheSource>
  <cacheFields count="13">
    <cacheField name="Order ID" numFmtId="0">
      <sharedItems/>
    </cacheField>
    <cacheField name="Buyer" numFmtId="0">
      <sharedItems count="5">
        <s v="H&amp;M"/>
        <s v="Uniqlo"/>
        <s v="Gap"/>
        <s v="Zara"/>
        <s v="Primark"/>
      </sharedItems>
    </cacheField>
    <cacheField name="Product Type" numFmtId="0">
      <sharedItems count="5">
        <s v="Jeans"/>
        <s v="Hoodie"/>
        <s v="Shirt"/>
        <s v="T-shirt"/>
        <s v="Jacket"/>
      </sharedItems>
    </cacheField>
    <cacheField name="Order Quantity" numFmtId="3">
      <sharedItems containsSemiMixedTypes="0" containsString="0" containsNumber="1" containsInteger="1" minValue="504" maxValue="4999"/>
    </cacheField>
    <cacheField name="Production Quantity" numFmtId="3">
      <sharedItems containsSemiMixedTypes="0" containsString="0" containsNumber="1" containsInteger="1" minValue="466" maxValue="5203"/>
    </cacheField>
    <cacheField name="Defects" numFmtId="1">
      <sharedItems containsSemiMixedTypes="0" containsString="0" containsNumber="1" containsInteger="1" minValue="6" maxValue="386"/>
    </cacheField>
    <cacheField name="Delivery Date" numFmtId="14">
      <sharedItems containsSemiMixedTypes="0" containsNonDate="0" containsDate="1" containsString="0" minDate="2024-01-01T00:00:00" maxDate="2024-12-31T00:00:00" count="342">
        <d v="2024-05-01T00:00:00"/>
        <d v="2024-05-10T00:00:00"/>
        <d v="2024-10-03T00:00:00"/>
        <d v="2024-02-28T00:00:00"/>
        <d v="2024-06-23T00:00:00"/>
        <d v="2024-11-02T00:00:00"/>
        <d v="2024-08-29T00:00:00"/>
        <d v="2024-09-20T00:00:00"/>
        <d v="2024-01-02T00:00:00"/>
        <d v="2024-08-05T00:00:00"/>
        <d v="2024-09-27T00:00:00"/>
        <d v="2024-08-24T00:00:00"/>
        <d v="2024-02-10T00:00:00"/>
        <d v="2024-05-08T00:00:00"/>
        <d v="2024-06-11T00:00:00"/>
        <d v="2024-05-14T00:00:00"/>
        <d v="2024-04-08T00:00:00"/>
        <d v="2024-07-25T00:00:00"/>
        <d v="2024-04-05T00:00:00"/>
        <d v="2024-01-29T00:00:00"/>
        <d v="2024-03-02T00:00:00"/>
        <d v="2024-10-12T00:00:00"/>
        <d v="2024-08-12T00:00:00"/>
        <d v="2024-12-24T00:00:00"/>
        <d v="2024-11-10T00:00:00"/>
        <d v="2024-02-21T00:00:00"/>
        <d v="2024-03-21T00:00:00"/>
        <d v="2024-08-11T00:00:00"/>
        <d v="2024-07-16T00:00:00"/>
        <d v="2024-10-06T00:00:00"/>
        <d v="2024-05-23T00:00:00"/>
        <d v="2024-05-27T00:00:00"/>
        <d v="2024-11-03T00:00:00"/>
        <d v="2024-09-23T00:00:00"/>
        <d v="2024-04-21T00:00:00"/>
        <d v="2024-02-06T00:00:00"/>
        <d v="2024-07-26T00:00:00"/>
        <d v="2024-03-15T00:00:00"/>
        <d v="2024-01-22T00:00:00"/>
        <d v="2024-10-09T00:00:00"/>
        <d v="2024-11-12T00:00:00"/>
        <d v="2024-02-15T00:00:00"/>
        <d v="2024-10-28T00:00:00"/>
        <d v="2024-06-09T00:00:00"/>
        <d v="2024-02-27T00:00:00"/>
        <d v="2024-05-30T00:00:00"/>
        <d v="2024-10-25T00:00:00"/>
        <d v="2024-11-11T00:00:00"/>
        <d v="2024-05-21T00:00:00"/>
        <d v="2024-12-07T00:00:00"/>
        <d v="2024-04-10T00:00:00"/>
        <d v="2024-09-18T00:00:00"/>
        <d v="2024-04-29T00:00:00"/>
        <d v="2024-11-13T00:00:00"/>
        <d v="2024-01-01T00:00:00"/>
        <d v="2024-12-14T00:00:00"/>
        <d v="2024-10-11T00:00:00"/>
        <d v="2024-07-22T00:00:00"/>
        <d v="2024-09-10T00:00:00"/>
        <d v="2024-10-16T00:00:00"/>
        <d v="2024-01-04T00:00:00"/>
        <d v="2024-06-08T00:00:00"/>
        <d v="2024-06-27T00:00:00"/>
        <d v="2024-04-02T00:00:00"/>
        <d v="2024-11-09T00:00:00"/>
        <d v="2024-09-05T00:00:00"/>
        <d v="2024-07-08T00:00:00"/>
        <d v="2024-12-20T00:00:00"/>
        <d v="2024-07-05T00:00:00"/>
        <d v="2024-10-10T00:00:00"/>
        <d v="2024-03-09T00:00:00"/>
        <d v="2024-08-10T00:00:00"/>
        <d v="2024-08-26T00:00:00"/>
        <d v="2024-05-20T00:00:00"/>
        <d v="2024-12-04T00:00:00"/>
        <d v="2024-08-04T00:00:00"/>
        <d v="2024-12-29T00:00:00"/>
        <d v="2024-06-21T00:00:00"/>
        <d v="2024-12-26T00:00:00"/>
        <d v="2024-11-07T00:00:00"/>
        <d v="2024-10-29T00:00:00"/>
        <d v="2024-08-14T00:00:00"/>
        <d v="2024-01-12T00:00:00"/>
        <d v="2024-01-08T00:00:00"/>
        <d v="2024-12-22T00:00:00"/>
        <d v="2024-07-30T00:00:00"/>
        <d v="2024-03-22T00:00:00"/>
        <d v="2024-06-25T00:00:00"/>
        <d v="2024-04-07T00:00:00"/>
        <d v="2024-07-15T00:00:00"/>
        <d v="2024-06-13T00:00:00"/>
        <d v="2024-02-20T00:00:00"/>
        <d v="2024-02-03T00:00:00"/>
        <d v="2024-11-01T00:00:00"/>
        <d v="2024-11-08T00:00:00"/>
        <d v="2024-03-06T00:00:00"/>
        <d v="2024-06-14T00:00:00"/>
        <d v="2024-05-12T00:00:00"/>
        <d v="2024-04-20T00:00:00"/>
        <d v="2024-10-07T00:00:00"/>
        <d v="2024-03-13T00:00:00"/>
        <d v="2024-04-16T00:00:00"/>
        <d v="2024-04-22T00:00:00"/>
        <d v="2024-01-14T00:00:00"/>
        <d v="2024-09-30T00:00:00"/>
        <d v="2024-07-20T00:00:00"/>
        <d v="2024-01-25T00:00:00"/>
        <d v="2024-04-18T00:00:00"/>
        <d v="2024-08-23T00:00:00"/>
        <d v="2024-03-10T00:00:00"/>
        <d v="2024-05-31T00:00:00"/>
        <d v="2024-02-05T00:00:00"/>
        <d v="2024-05-13T00:00:00"/>
        <d v="2024-07-12T00:00:00"/>
        <d v="2024-11-21T00:00:00"/>
        <d v="2024-05-19T00:00:00"/>
        <d v="2024-05-18T00:00:00"/>
        <d v="2024-09-17T00:00:00"/>
        <d v="2024-11-16T00:00:00"/>
        <d v="2024-04-03T00:00:00"/>
        <d v="2024-05-16T00:00:00"/>
        <d v="2024-02-29T00:00:00"/>
        <d v="2024-07-31T00:00:00"/>
        <d v="2024-10-14T00:00:00"/>
        <d v="2024-11-04T00:00:00"/>
        <d v="2024-04-06T00:00:00"/>
        <d v="2024-01-05T00:00:00"/>
        <d v="2024-08-15T00:00:00"/>
        <d v="2024-01-23T00:00:00"/>
        <d v="2024-07-28T00:00:00"/>
        <d v="2024-11-19T00:00:00"/>
        <d v="2024-10-13T00:00:00"/>
        <d v="2024-09-13T00:00:00"/>
        <d v="2024-03-03T00:00:00"/>
        <d v="2024-12-12T00:00:00"/>
        <d v="2024-06-28T00:00:00"/>
        <d v="2024-05-29T00:00:00"/>
        <d v="2024-02-18T00:00:00"/>
        <d v="2024-07-29T00:00:00"/>
        <d v="2024-02-24T00:00:00"/>
        <d v="2024-09-03T00:00:00"/>
        <d v="2024-08-16T00:00:00"/>
        <d v="2024-03-18T00:00:00"/>
        <d v="2024-06-30T00:00:00"/>
        <d v="2024-07-13T00:00:00"/>
        <d v="2024-08-09T00:00:00"/>
        <d v="2024-01-09T00:00:00"/>
        <d v="2024-08-22T00:00:00"/>
        <d v="2024-10-19T00:00:00"/>
        <d v="2024-01-17T00:00:00"/>
        <d v="2024-05-09T00:00:00"/>
        <d v="2024-10-21T00:00:00"/>
        <d v="2024-12-02T00:00:00"/>
        <d v="2024-02-11T00:00:00"/>
        <d v="2024-04-11T00:00:00"/>
        <d v="2024-08-03T00:00:00"/>
        <d v="2024-09-26T00:00:00"/>
        <d v="2024-04-12T00:00:00"/>
        <d v="2024-04-17T00:00:00"/>
        <d v="2024-07-03T00:00:00"/>
        <d v="2024-06-06T00:00:00"/>
        <d v="2024-08-13T00:00:00"/>
        <d v="2024-03-01T00:00:00"/>
        <d v="2024-03-08T00:00:00"/>
        <d v="2024-02-09T00:00:00"/>
        <d v="2024-11-23T00:00:00"/>
        <d v="2024-06-24T00:00:00"/>
        <d v="2024-06-16T00:00:00"/>
        <d v="2024-12-21T00:00:00"/>
        <d v="2024-12-09T00:00:00"/>
        <d v="2024-10-04T00:00:00"/>
        <d v="2024-01-07T00:00:00"/>
        <d v="2024-05-24T00:00:00"/>
        <d v="2024-07-17T00:00:00"/>
        <d v="2024-12-05T00:00:00"/>
        <d v="2024-04-26T00:00:00"/>
        <d v="2024-10-27T00:00:00"/>
        <d v="2024-03-28T00:00:00"/>
        <d v="2024-11-05T00:00:00"/>
        <d v="2024-06-02T00:00:00"/>
        <d v="2024-05-22T00:00:00"/>
        <d v="2024-05-02T00:00:00"/>
        <d v="2024-09-07T00:00:00"/>
        <d v="2024-01-24T00:00:00"/>
        <d v="2024-11-20T00:00:00"/>
        <d v="2024-12-10T00:00:00"/>
        <d v="2024-06-12T00:00:00"/>
        <d v="2024-03-20T00:00:00"/>
        <d v="2024-06-19T00:00:00"/>
        <d v="2024-09-01T00:00:00"/>
        <d v="2024-05-05T00:00:00"/>
        <d v="2024-12-06T00:00:00"/>
        <d v="2024-03-26T00:00:00"/>
        <d v="2024-04-23T00:00:00"/>
        <d v="2024-03-17T00:00:00"/>
        <d v="2024-05-11T00:00:00"/>
        <d v="2024-01-03T00:00:00"/>
        <d v="2024-08-08T00:00:00"/>
        <d v="2024-01-21T00:00:00"/>
        <d v="2024-10-18T00:00:00"/>
        <d v="2024-02-08T00:00:00"/>
        <d v="2024-08-07T00:00:00"/>
        <d v="2024-05-04T00:00:00"/>
        <d v="2024-09-14T00:00:00"/>
        <d v="2024-06-15T00:00:00"/>
        <d v="2024-07-14T00:00:00"/>
        <d v="2024-09-15T00:00:00"/>
        <d v="2024-12-25T00:00:00"/>
        <d v="2024-08-18T00:00:00"/>
        <d v="2024-11-26T00:00:00"/>
        <d v="2024-03-07T00:00:00"/>
        <d v="2024-07-24T00:00:00"/>
        <d v="2024-05-25T00:00:00"/>
        <d v="2024-09-09T00:00:00"/>
        <d v="2024-06-04T00:00:00"/>
        <d v="2024-09-16T00:00:00"/>
        <d v="2024-04-25T00:00:00"/>
        <d v="2024-03-05T00:00:00"/>
        <d v="2024-08-19T00:00:00"/>
        <d v="2024-03-19T00:00:00"/>
        <d v="2024-03-27T00:00:00"/>
        <d v="2024-01-28T00:00:00"/>
        <d v="2024-05-15T00:00:00"/>
        <d v="2024-09-11T00:00:00"/>
        <d v="2024-09-25T00:00:00"/>
        <d v="2024-11-29T00:00:00"/>
        <d v="2024-05-28T00:00:00"/>
        <d v="2024-07-21T00:00:00"/>
        <d v="2024-11-15T00:00:00"/>
        <d v="2024-08-06T00:00:00"/>
        <d v="2024-04-30T00:00:00"/>
        <d v="2024-09-29T00:00:00"/>
        <d v="2024-12-01T00:00:00"/>
        <d v="2024-06-07T00:00:00"/>
        <d v="2024-01-19T00:00:00"/>
        <d v="2024-02-04T00:00:00"/>
        <d v="2024-07-06T00:00:00"/>
        <d v="2024-07-23T00:00:00"/>
        <d v="2024-09-06T00:00:00"/>
        <d v="2024-10-23T00:00:00"/>
        <d v="2024-08-25T00:00:00"/>
        <d v="2024-09-02T00:00:00"/>
        <d v="2024-12-18T00:00:00"/>
        <d v="2024-12-03T00:00:00"/>
        <d v="2024-09-28T00:00:00"/>
        <d v="2024-07-19T00:00:00"/>
        <d v="2024-03-24T00:00:00"/>
        <d v="2024-03-29T00:00:00"/>
        <d v="2024-02-19T00:00:00"/>
        <d v="2024-02-07T00:00:00"/>
        <d v="2024-12-08T00:00:00"/>
        <d v="2024-01-30T00:00:00"/>
        <d v="2024-11-30T00:00:00"/>
        <d v="2024-06-10T00:00:00"/>
        <d v="2024-03-04T00:00:00"/>
        <d v="2024-01-20T00:00:00"/>
        <d v="2024-10-24T00:00:00"/>
        <d v="2024-04-13T00:00:00"/>
        <d v="2024-12-23T00:00:00"/>
        <d v="2024-01-13T00:00:00"/>
        <d v="2024-08-02T00:00:00"/>
        <d v="2024-02-23T00:00:00"/>
        <d v="2024-02-22T00:00:00"/>
        <d v="2024-04-28T00:00:00"/>
        <d v="2024-10-20T00:00:00"/>
        <d v="2024-04-09T00:00:00"/>
        <d v="2024-09-19T00:00:00"/>
        <d v="2024-06-01T00:00:00"/>
        <d v="2024-08-20T00:00:00"/>
        <d v="2024-06-22T00:00:00"/>
        <d v="2024-09-04T00:00:00"/>
        <d v="2024-11-27T00:00:00"/>
        <d v="2024-12-27T00:00:00"/>
        <d v="2024-02-13T00:00:00"/>
        <d v="2024-03-31T00:00:00"/>
        <d v="2024-06-29T00:00:00"/>
        <d v="2024-06-17T00:00:00"/>
        <d v="2024-08-28T00:00:00"/>
        <d v="2024-07-09T00:00:00"/>
        <d v="2024-02-12T00:00:00"/>
        <d v="2024-07-07T00:00:00"/>
        <d v="2024-08-27T00:00:00"/>
        <d v="2024-03-23T00:00:00"/>
        <d v="2024-04-27T00:00:00"/>
        <d v="2024-04-15T00:00:00"/>
        <d v="2024-06-26T00:00:00"/>
        <d v="2024-12-13T00:00:00"/>
        <d v="2024-05-17T00:00:00"/>
        <d v="2024-02-25T00:00:00"/>
        <d v="2024-12-19T00:00:00"/>
        <d v="2024-09-12T00:00:00"/>
        <d v="2024-01-11T00:00:00"/>
        <d v="2024-10-30T00:00:00"/>
        <d v="2024-09-24T00:00:00"/>
        <d v="2024-11-17T00:00:00"/>
        <d v="2024-07-27T00:00:00"/>
        <d v="2024-10-22T00:00:00"/>
        <d v="2024-05-07T00:00:00"/>
        <d v="2024-01-18T00:00:00"/>
        <d v="2024-12-30T00:00:00"/>
        <d v="2024-12-11T00:00:00"/>
        <d v="2024-11-28T00:00:00"/>
        <d v="2024-07-18T00:00:00"/>
        <d v="2024-06-03T00:00:00"/>
        <d v="2024-12-16T00:00:00"/>
        <d v="2024-01-26T00:00:00"/>
        <d v="2024-12-28T00:00:00"/>
        <d v="2024-08-17T00:00:00"/>
        <d v="2024-11-18T00:00:00"/>
        <d v="2024-05-06T00:00:00"/>
        <d v="2024-03-11T00:00:00"/>
        <d v="2024-10-01T00:00:00"/>
        <d v="2024-11-22T00:00:00"/>
        <d v="2024-10-31T00:00:00"/>
        <d v="2024-09-22T00:00:00"/>
        <d v="2024-10-02T00:00:00"/>
        <d v="2024-04-04T00:00:00"/>
        <d v="2024-01-16T00:00:00"/>
        <d v="2024-04-24T00:00:00"/>
        <d v="2024-10-05T00:00:00"/>
        <d v="2024-02-01T00:00:00"/>
        <d v="2024-02-16T00:00:00"/>
        <d v="2024-02-02T00:00:00"/>
        <d v="2024-03-25T00:00:00"/>
        <d v="2024-05-26T00:00:00"/>
        <d v="2024-04-01T00:00:00"/>
        <d v="2024-01-06T00:00:00"/>
        <d v="2024-03-16T00:00:00"/>
        <d v="2024-08-01T00:00:00"/>
        <d v="2024-06-18T00:00:00"/>
        <d v="2024-08-31T00:00:00"/>
        <d v="2024-03-30T00:00:00"/>
        <d v="2024-01-27T00:00:00"/>
        <d v="2024-10-17T00:00:00"/>
        <d v="2024-11-14T00:00:00"/>
        <d v="2024-07-10T00:00:00"/>
        <d v="2024-07-01T00:00:00"/>
        <d v="2024-07-02T00:00:00"/>
        <d v="2024-08-21T00:00:00"/>
        <d v="2024-04-19T00:00:00"/>
        <d v="2024-10-08T00:00:00"/>
        <d v="2024-11-24T00:00:00"/>
      </sharedItems>
    </cacheField>
    <cacheField name="Date" numFmtId="165">
      <sharedItems containsSemiMixedTypes="0" containsNonDate="0" containsDate="1" containsString="0" minDate="2024-01-01T00:00:00" maxDate="2025-01-02T00:00:00" count="13">
        <d v="2024-05-01T00:00:00"/>
        <d v="2024-10-01T00:00:00"/>
        <d v="2024-03-01T00:00:00"/>
        <d v="2024-06-01T00:00:00"/>
        <d v="2024-11-01T00:00:00"/>
        <d v="2024-08-01T00:00:00"/>
        <d v="2024-09-01T00:00:00"/>
        <d v="2024-01-01T00:00:00"/>
        <d v="2024-02-01T00:00:00"/>
        <d v="2024-04-01T00:00:00"/>
        <d v="2024-07-01T00:00:00"/>
        <d v="2024-12-01T00:00:00"/>
        <d v="2025-01-01T00:00:00"/>
      </sharedItems>
    </cacheField>
    <cacheField name="Actual Shipment Date" numFmtId="168">
      <sharedItems containsSemiMixedTypes="0" containsNonDate="0" containsDate="1" containsString="0" minDate="2024-01-02T00:00:00" maxDate="2025-01-06T00:00:00"/>
    </cacheField>
    <cacheField name="Price per Unit" numFmtId="2">
      <sharedItems containsSemiMixedTypes="0" containsString="0" containsNumber="1" minValue="5.0199999999999996" maxValue="24.99"/>
    </cacheField>
    <cacheField name="Sales" numFmtId="3">
      <sharedItems containsSemiMixedTypes="0" containsString="0" containsNumber="1" minValue="3457.2000000000003" maxValue="121882.77"/>
    </cacheField>
    <cacheField name="Column1" numFmtId="0">
      <sharedItems/>
    </cacheField>
    <cacheField name="isDuplicate" numFmtId="0">
      <sharedItems/>
    </cacheField>
  </cacheFields>
  <extLst>
    <ext xmlns:x14="http://schemas.microsoft.com/office/spreadsheetml/2009/9/main" uri="{725AE2AE-9491-48be-B2B4-4EB974FC3084}">
      <x14:pivotCacheDefinition pivotCacheId="17686452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1"/>
    <x v="0"/>
    <x v="0"/>
    <n v="1360"/>
    <n v="1261"/>
    <n v="81"/>
    <x v="0"/>
    <x v="0"/>
    <d v="2024-05-01T00:00:00"/>
    <n v="16.940000000000001"/>
    <n v="23038.400000000001"/>
    <s v="H&amp;MJeans1360126181454134541316.94"/>
    <b v="0"/>
  </r>
  <r>
    <s v="ORD0002"/>
    <x v="1"/>
    <x v="1"/>
    <n v="4926"/>
    <n v="4772"/>
    <n v="159"/>
    <x v="1"/>
    <x v="0"/>
    <d v="2024-05-13T00:00:00"/>
    <n v="7.86"/>
    <n v="38718.36"/>
    <s v="UniqloHoodie4926477215945422454257.86"/>
    <b v="0"/>
  </r>
  <r>
    <s v="ORD0003"/>
    <x v="2"/>
    <x v="1"/>
    <n v="1269"/>
    <n v="1279"/>
    <n v="96"/>
    <x v="2"/>
    <x v="1"/>
    <d v="2024-10-03T00:00:00"/>
    <n v="5.0199999999999996"/>
    <n v="6370.3799999999992"/>
    <s v="GapHoodie126912799645568455685.02"/>
    <b v="0"/>
  </r>
  <r>
    <s v="ORD0004"/>
    <x v="2"/>
    <x v="2"/>
    <n v="3885"/>
    <n v="3802"/>
    <n v="152"/>
    <x v="3"/>
    <x v="2"/>
    <d v="2024-03-04T00:00:00"/>
    <n v="10.82"/>
    <n v="42035.700000000004"/>
    <s v="GapShirt38853802152453504535510.82"/>
    <b v="0"/>
  </r>
  <r>
    <s v="ORD0005"/>
    <x v="2"/>
    <x v="3"/>
    <n v="2547"/>
    <n v="2403"/>
    <n v="85"/>
    <x v="4"/>
    <x v="3"/>
    <d v="2024-06-26T00:00:00"/>
    <n v="14.12"/>
    <n v="35963.64"/>
    <s v="GapT-shirt2547240385454664546914.12"/>
    <b v="0"/>
  </r>
  <r>
    <s v="ORD0006"/>
    <x v="0"/>
    <x v="1"/>
    <n v="2399"/>
    <n v="2344"/>
    <n v="120"/>
    <x v="5"/>
    <x v="4"/>
    <d v="2024-11-07T00:00:00"/>
    <n v="5.93"/>
    <n v="14226.07"/>
    <s v="H&amp;MHoodie2399234412045598456035.93"/>
    <b v="0"/>
  </r>
  <r>
    <s v="ORD0007"/>
    <x v="3"/>
    <x v="3"/>
    <n v="3388"/>
    <n v="3082"/>
    <n v="235"/>
    <x v="6"/>
    <x v="5"/>
    <d v="2024-08-29T00:00:00"/>
    <n v="24.31"/>
    <n v="82362.28"/>
    <s v="ZaraT-shirt33883082235455334553324.31"/>
    <b v="0"/>
  </r>
  <r>
    <s v="ORD0008"/>
    <x v="4"/>
    <x v="1"/>
    <n v="3324"/>
    <n v="2999"/>
    <n v="78"/>
    <x v="7"/>
    <x v="6"/>
    <d v="2024-09-25T00:00:00"/>
    <n v="9.82"/>
    <n v="32641.68"/>
    <s v="PrimarkHoodie332429997845555455609.82"/>
    <b v="0"/>
  </r>
  <r>
    <s v="ORD0009"/>
    <x v="4"/>
    <x v="1"/>
    <n v="534"/>
    <n v="553"/>
    <n v="15"/>
    <x v="8"/>
    <x v="7"/>
    <d v="2024-01-05T00:00:00"/>
    <n v="18.25"/>
    <n v="9745.5"/>
    <s v="PrimarkHoodie53455315452934529618.25"/>
    <b v="0"/>
  </r>
  <r>
    <s v="ORD0010"/>
    <x v="0"/>
    <x v="1"/>
    <n v="3961"/>
    <n v="3688"/>
    <n v="183"/>
    <x v="9"/>
    <x v="5"/>
    <d v="2024-08-06T00:00:00"/>
    <n v="5.63"/>
    <n v="22300.43"/>
    <s v="H&amp;MHoodie3961368818345509455105.63"/>
    <b v="0"/>
  </r>
  <r>
    <s v="ORD0011"/>
    <x v="4"/>
    <x v="3"/>
    <n v="661"/>
    <n v="634"/>
    <n v="47"/>
    <x v="10"/>
    <x v="1"/>
    <d v="2024-10-04T00:00:00"/>
    <n v="19.55"/>
    <n v="12922.550000000001"/>
    <s v="PrimarkT-shirt66163447455624556919.55"/>
    <b v="0"/>
  </r>
  <r>
    <s v="ORD0012"/>
    <x v="0"/>
    <x v="2"/>
    <n v="4298"/>
    <n v="4203"/>
    <n v="324"/>
    <x v="11"/>
    <x v="5"/>
    <d v="2024-08-24T00:00:00"/>
    <n v="21.89"/>
    <n v="94083.22"/>
    <s v="H&amp;MShirt42984203324455284552821.89"/>
    <b v="0"/>
  </r>
  <r>
    <s v="ORD0013"/>
    <x v="4"/>
    <x v="0"/>
    <n v="1378"/>
    <n v="1411"/>
    <n v="49"/>
    <x v="12"/>
    <x v="8"/>
    <d v="2024-02-12T00:00:00"/>
    <n v="10.62"/>
    <n v="14634.359999999999"/>
    <s v="PrimarkJeans1378141149453324533410.62"/>
    <b v="0"/>
  </r>
  <r>
    <s v="ORD0014"/>
    <x v="1"/>
    <x v="0"/>
    <n v="2562"/>
    <n v="2369"/>
    <n v="26"/>
    <x v="13"/>
    <x v="0"/>
    <d v="2024-05-09T00:00:00"/>
    <n v="13.47"/>
    <n v="34510.14"/>
    <s v="UniqloJeans2562236926454204542113.47"/>
    <b v="0"/>
  </r>
  <r>
    <s v="ORD0015"/>
    <x v="4"/>
    <x v="3"/>
    <n v="3195"/>
    <n v="2878"/>
    <n v="193"/>
    <x v="14"/>
    <x v="3"/>
    <d v="2024-06-11T00:00:00"/>
    <n v="19.14"/>
    <n v="61152.3"/>
    <s v="PrimarkT-shirt31952878193454544545419.14"/>
    <b v="0"/>
  </r>
  <r>
    <s v="ORD0016"/>
    <x v="0"/>
    <x v="1"/>
    <n v="4974"/>
    <n v="4531"/>
    <n v="159"/>
    <x v="15"/>
    <x v="0"/>
    <d v="2024-05-14T00:00:00"/>
    <n v="7.32"/>
    <n v="36409.68"/>
    <s v="H&amp;MHoodie4974453115945426454267.32"/>
    <b v="0"/>
  </r>
  <r>
    <s v="ORD0017"/>
    <x v="3"/>
    <x v="2"/>
    <n v="3604"/>
    <n v="3277"/>
    <n v="104"/>
    <x v="16"/>
    <x v="9"/>
    <d v="2024-04-09T00:00:00"/>
    <n v="11.5"/>
    <n v="41446"/>
    <s v="ZaraShirt36043277104453904539111.5"/>
    <b v="0"/>
  </r>
  <r>
    <s v="ORD0018"/>
    <x v="3"/>
    <x v="1"/>
    <n v="3273"/>
    <n v="3381"/>
    <n v="145"/>
    <x v="1"/>
    <x v="0"/>
    <d v="2024-05-10T00:00:00"/>
    <n v="7.39"/>
    <n v="24187.469999999998"/>
    <s v="ZaraHoodie3273338114545422454227.39"/>
    <b v="0"/>
  </r>
  <r>
    <s v="ORD0019"/>
    <x v="2"/>
    <x v="3"/>
    <n v="1528"/>
    <n v="1503"/>
    <n v="96"/>
    <x v="17"/>
    <x v="10"/>
    <d v="2024-07-30T00:00:00"/>
    <n v="14.88"/>
    <n v="22736.639999999999"/>
    <s v="GapT-shirt1528150396454984550314.88"/>
    <b v="0"/>
  </r>
  <r>
    <s v="ORD0020"/>
    <x v="3"/>
    <x v="3"/>
    <n v="1984"/>
    <n v="1845"/>
    <n v="134"/>
    <x v="18"/>
    <x v="9"/>
    <d v="2024-04-06T00:00:00"/>
    <n v="14.51"/>
    <n v="28787.84"/>
    <s v="ZaraT-shirt19841845134453874538814.51"/>
    <b v="0"/>
  </r>
  <r>
    <s v="ORD0021"/>
    <x v="0"/>
    <x v="3"/>
    <n v="2257"/>
    <n v="2078"/>
    <n v="108"/>
    <x v="19"/>
    <x v="7"/>
    <d v="2024-01-30T00:00:00"/>
    <n v="15.8"/>
    <n v="35660.6"/>
    <s v="H&amp;MT-shirt22572078108453204532115.8"/>
    <b v="0"/>
  </r>
  <r>
    <s v="ORD0022"/>
    <x v="4"/>
    <x v="0"/>
    <n v="2222"/>
    <n v="2231"/>
    <n v="159"/>
    <x v="20"/>
    <x v="2"/>
    <d v="2024-03-02T00:00:00"/>
    <n v="17.489999999999998"/>
    <n v="38862.78"/>
    <s v="PrimarkJeans22222231159453534535317.49"/>
    <b v="0"/>
  </r>
  <r>
    <s v="ORD0023"/>
    <x v="2"/>
    <x v="1"/>
    <n v="3560"/>
    <n v="3669"/>
    <n v="243"/>
    <x v="21"/>
    <x v="1"/>
    <d v="2024-10-15T00:00:00"/>
    <n v="8.73"/>
    <n v="31078.800000000003"/>
    <s v="GapHoodie3560366924345577455808.73"/>
    <b v="0"/>
  </r>
  <r>
    <s v="ORD0024"/>
    <x v="1"/>
    <x v="1"/>
    <n v="2163"/>
    <n v="2208"/>
    <n v="160"/>
    <x v="22"/>
    <x v="5"/>
    <d v="2024-08-12T00:00:00"/>
    <n v="11.36"/>
    <n v="24571.68"/>
    <s v="UniqloHoodie21632208160455164551611.36"/>
    <b v="0"/>
  </r>
  <r>
    <s v="ORD0025"/>
    <x v="2"/>
    <x v="4"/>
    <n v="1806"/>
    <n v="1741"/>
    <n v="117"/>
    <x v="23"/>
    <x v="11"/>
    <d v="2024-12-27T00:00:00"/>
    <n v="22.21"/>
    <n v="40111.26"/>
    <s v="GapJacket18061741117456504565322.21"/>
    <b v="0"/>
  </r>
  <r>
    <s v="ORD0026"/>
    <x v="4"/>
    <x v="3"/>
    <n v="4913"/>
    <n v="4585"/>
    <n v="84"/>
    <x v="24"/>
    <x v="4"/>
    <d v="2024-11-13T00:00:00"/>
    <n v="11.75"/>
    <n v="57727.75"/>
    <s v="PrimarkT-shirt4913458584456064560911.75"/>
    <b v="0"/>
  </r>
  <r>
    <s v="ORD0027"/>
    <x v="4"/>
    <x v="4"/>
    <n v="4243"/>
    <n v="4148"/>
    <n v="245"/>
    <x v="25"/>
    <x v="8"/>
    <d v="2024-02-22T00:00:00"/>
    <n v="12.27"/>
    <n v="52061.61"/>
    <s v="PrimarkJacket42434148245453434534412.27"/>
    <b v="0"/>
  </r>
  <r>
    <s v="ORD0028"/>
    <x v="0"/>
    <x v="1"/>
    <n v="4081"/>
    <n v="4099"/>
    <n v="245"/>
    <x v="26"/>
    <x v="2"/>
    <d v="2024-03-21T00:00:00"/>
    <n v="7.96"/>
    <n v="32484.76"/>
    <s v="H&amp;MHoodie4081409924545372453727.96"/>
    <b v="0"/>
  </r>
  <r>
    <s v="ORD0029"/>
    <x v="1"/>
    <x v="0"/>
    <n v="2660"/>
    <n v="2783"/>
    <n v="107"/>
    <x v="27"/>
    <x v="5"/>
    <d v="2024-08-11T00:00:00"/>
    <n v="5.66"/>
    <n v="15055.6"/>
    <s v="UniqloJeans2660278310745515455155.66"/>
    <b v="0"/>
  </r>
  <r>
    <s v="ORD0030"/>
    <x v="4"/>
    <x v="2"/>
    <n v="3974"/>
    <n v="3982"/>
    <n v="187"/>
    <x v="28"/>
    <x v="10"/>
    <d v="2024-07-23T00:00:00"/>
    <n v="13.96"/>
    <n v="55477.04"/>
    <s v="PrimarkShirt39743982187454894549613.96"/>
    <b v="0"/>
  </r>
  <r>
    <s v="ORD0031"/>
    <x v="2"/>
    <x v="2"/>
    <n v="4010"/>
    <n v="4067"/>
    <n v="108"/>
    <x v="29"/>
    <x v="1"/>
    <d v="2024-10-08T00:00:00"/>
    <n v="19.559999999999999"/>
    <n v="78435.599999999991"/>
    <s v="GapShirt40104067108455714557319.56"/>
    <b v="0"/>
  </r>
  <r>
    <s v="ORD0032"/>
    <x v="0"/>
    <x v="0"/>
    <n v="3431"/>
    <n v="3594"/>
    <n v="136"/>
    <x v="30"/>
    <x v="0"/>
    <d v="2024-05-23T00:00:00"/>
    <n v="21.33"/>
    <n v="73183.23"/>
    <s v="H&amp;MJeans34313594136454354543521.33"/>
    <b v="0"/>
  </r>
  <r>
    <s v="ORD0033"/>
    <x v="2"/>
    <x v="4"/>
    <n v="3772"/>
    <n v="3576"/>
    <n v="82"/>
    <x v="31"/>
    <x v="0"/>
    <d v="2024-05-28T00:00:00"/>
    <n v="5.82"/>
    <n v="21953.040000000001"/>
    <s v="GapJacket377235768245439454405.82"/>
    <b v="0"/>
  </r>
  <r>
    <s v="ORD0034"/>
    <x v="4"/>
    <x v="2"/>
    <n v="1869"/>
    <n v="1825"/>
    <n v="47"/>
    <x v="32"/>
    <x v="4"/>
    <d v="2024-11-03T00:00:00"/>
    <n v="17.899999999999999"/>
    <n v="33455.1"/>
    <s v="PrimarkShirt1869182547455994559917.9"/>
    <b v="0"/>
  </r>
  <r>
    <s v="ORD0035"/>
    <x v="3"/>
    <x v="4"/>
    <n v="3476"/>
    <n v="3335"/>
    <n v="154"/>
    <x v="33"/>
    <x v="6"/>
    <d v="2024-09-24T00:00:00"/>
    <n v="21.75"/>
    <n v="75603"/>
    <s v="ZaraJacket34763335154455584555921.75"/>
    <b v="0"/>
  </r>
  <r>
    <s v="ORD0036"/>
    <x v="1"/>
    <x v="0"/>
    <n v="4561"/>
    <n v="4580"/>
    <n v="119"/>
    <x v="34"/>
    <x v="9"/>
    <d v="2024-04-21T00:00:00"/>
    <n v="8.5"/>
    <n v="38768.5"/>
    <s v="UniqloJeans4561458011945403454038.5"/>
    <b v="0"/>
  </r>
  <r>
    <s v="ORD0037"/>
    <x v="4"/>
    <x v="4"/>
    <n v="4143"/>
    <n v="3890"/>
    <n v="310"/>
    <x v="35"/>
    <x v="8"/>
    <d v="2024-02-13T00:00:00"/>
    <n v="24.31"/>
    <n v="100716.33"/>
    <s v="PrimarkJacket41433890310453284533524.31"/>
    <b v="0"/>
  </r>
  <r>
    <s v="ORD0038"/>
    <x v="0"/>
    <x v="0"/>
    <n v="4590"/>
    <n v="4260"/>
    <n v="125"/>
    <x v="36"/>
    <x v="10"/>
    <d v="2024-07-26T00:00:00"/>
    <n v="19.010000000000002"/>
    <n v="87255.900000000009"/>
    <s v="H&amp;MJeans45904260125454994549919.01"/>
    <b v="0"/>
  </r>
  <r>
    <s v="ORD0039"/>
    <x v="2"/>
    <x v="1"/>
    <n v="4999"/>
    <n v="5164"/>
    <n v="333"/>
    <x v="37"/>
    <x v="2"/>
    <d v="2024-03-15T00:00:00"/>
    <n v="17.84"/>
    <n v="89182.16"/>
    <s v="GapHoodie49995164333453664536617.84"/>
    <b v="0"/>
  </r>
  <r>
    <s v="ORD0040"/>
    <x v="4"/>
    <x v="0"/>
    <n v="1945"/>
    <n v="1945"/>
    <n v="98"/>
    <x v="16"/>
    <x v="9"/>
    <d v="2024-04-08T00:00:00"/>
    <n v="12.45"/>
    <n v="24215.25"/>
    <s v="PrimarkJeans1945194598453904539012.45"/>
    <b v="0"/>
  </r>
  <r>
    <s v="ORD0041"/>
    <x v="4"/>
    <x v="4"/>
    <n v="3461"/>
    <n v="3198"/>
    <n v="154"/>
    <x v="36"/>
    <x v="10"/>
    <d v="2024-07-28T00:00:00"/>
    <n v="18.84"/>
    <n v="65205.24"/>
    <s v="PrimarkJacket34613198154454994550118.84"/>
    <b v="0"/>
  </r>
  <r>
    <s v="ORD0042"/>
    <x v="0"/>
    <x v="2"/>
    <n v="4567"/>
    <n v="4598"/>
    <n v="122"/>
    <x v="15"/>
    <x v="0"/>
    <d v="2024-05-14T00:00:00"/>
    <n v="11.51"/>
    <n v="52566.17"/>
    <s v="H&amp;MShirt45674598122454264542611.51"/>
    <b v="0"/>
  </r>
  <r>
    <s v="ORD0043"/>
    <x v="0"/>
    <x v="1"/>
    <n v="4996"/>
    <n v="4727"/>
    <n v="226"/>
    <x v="38"/>
    <x v="7"/>
    <d v="2024-01-25T00:00:00"/>
    <n v="15.18"/>
    <n v="75839.28"/>
    <s v="H&amp;MHoodie49964727226453134531615.18"/>
    <b v="0"/>
  </r>
  <r>
    <s v="ORD0044"/>
    <x v="2"/>
    <x v="2"/>
    <n v="2193"/>
    <n v="2293"/>
    <n v="86"/>
    <x v="39"/>
    <x v="1"/>
    <d v="2024-10-09T00:00:00"/>
    <n v="22.84"/>
    <n v="50088.12"/>
    <s v="GapShirt2193229386455744557422.84"/>
    <b v="0"/>
  </r>
  <r>
    <s v="ORD0045"/>
    <x v="3"/>
    <x v="3"/>
    <n v="725"/>
    <n v="690"/>
    <n v="38"/>
    <x v="40"/>
    <x v="4"/>
    <d v="2024-11-19T00:00:00"/>
    <n v="18.38"/>
    <n v="13325.5"/>
    <s v="ZaraT-shirt72569038456084561518.38"/>
    <b v="0"/>
  </r>
  <r>
    <s v="ORD0046"/>
    <x v="0"/>
    <x v="3"/>
    <n v="3620"/>
    <n v="3281"/>
    <n v="261"/>
    <x v="41"/>
    <x v="8"/>
    <d v="2024-02-17T00:00:00"/>
    <n v="14.4"/>
    <n v="52128"/>
    <s v="H&amp;MT-shirt36203281261453374533914.4"/>
    <b v="0"/>
  </r>
  <r>
    <s v="ORD0047"/>
    <x v="0"/>
    <x v="0"/>
    <n v="3065"/>
    <n v="2928"/>
    <n v="32"/>
    <x v="42"/>
    <x v="1"/>
    <d v="2024-10-30T00:00:00"/>
    <n v="23.57"/>
    <n v="72242.05"/>
    <s v="H&amp;MJeans3065292832455934559523.57"/>
    <b v="0"/>
  </r>
  <r>
    <s v="ORD0048"/>
    <x v="1"/>
    <x v="2"/>
    <n v="1106"/>
    <n v="1155"/>
    <n v="80"/>
    <x v="43"/>
    <x v="3"/>
    <d v="2024-06-16T00:00:00"/>
    <n v="10.89"/>
    <n v="12044.34"/>
    <s v="UniqloShirt1106115580454524545910.89"/>
    <b v="0"/>
  </r>
  <r>
    <s v="ORD0049"/>
    <x v="0"/>
    <x v="4"/>
    <n v="3894"/>
    <n v="3603"/>
    <n v="176"/>
    <x v="44"/>
    <x v="8"/>
    <d v="2024-02-27T00:00:00"/>
    <n v="23.72"/>
    <n v="92365.68"/>
    <s v="H&amp;MJacket38943603176453494534923.72"/>
    <b v="0"/>
  </r>
  <r>
    <s v="ORD0050"/>
    <x v="4"/>
    <x v="2"/>
    <n v="2395"/>
    <n v="2180"/>
    <n v="53"/>
    <x v="45"/>
    <x v="0"/>
    <d v="2024-05-30T00:00:00"/>
    <n v="18.420000000000002"/>
    <n v="44115.9"/>
    <s v="PrimarkShirt2395218053454424544218.42"/>
    <b v="0"/>
  </r>
  <r>
    <s v="ORD0051"/>
    <x v="4"/>
    <x v="1"/>
    <n v="654"/>
    <n v="617"/>
    <n v="20"/>
    <x v="46"/>
    <x v="1"/>
    <d v="2024-10-28T00:00:00"/>
    <n v="21.97"/>
    <n v="14368.38"/>
    <s v="PrimarkHoodie65461720455904559321.97"/>
    <b v="0"/>
  </r>
  <r>
    <s v="ORD0052"/>
    <x v="2"/>
    <x v="1"/>
    <n v="3306"/>
    <n v="3183"/>
    <n v="88"/>
    <x v="47"/>
    <x v="4"/>
    <d v="2024-11-11T00:00:00"/>
    <n v="17.23"/>
    <n v="56962.380000000005"/>
    <s v="GapHoodie3306318388456074560717.23"/>
    <b v="0"/>
  </r>
  <r>
    <s v="ORD0053"/>
    <x v="0"/>
    <x v="4"/>
    <n v="3450"/>
    <n v="3364"/>
    <n v="221"/>
    <x v="48"/>
    <x v="0"/>
    <d v="2024-05-22T00:00:00"/>
    <n v="18"/>
    <n v="62100"/>
    <s v="H&amp;MJacket34503364221454334543418"/>
    <b v="0"/>
  </r>
  <r>
    <s v="ORD0054"/>
    <x v="0"/>
    <x v="2"/>
    <n v="1666"/>
    <n v="1593"/>
    <n v="26"/>
    <x v="49"/>
    <x v="11"/>
    <d v="2024-12-07T00:00:00"/>
    <n v="16.57"/>
    <n v="27605.62"/>
    <s v="H&amp;MShirt1666159326456334563316.57"/>
    <b v="0"/>
  </r>
  <r>
    <s v="ORD0055"/>
    <x v="4"/>
    <x v="0"/>
    <n v="4236"/>
    <n v="3910"/>
    <n v="307"/>
    <x v="44"/>
    <x v="2"/>
    <d v="2024-03-01T00:00:00"/>
    <n v="21.78"/>
    <n v="92260.08"/>
    <s v="PrimarkJeans42363910307453494535221.78"/>
    <b v="0"/>
  </r>
  <r>
    <s v="ORD0056"/>
    <x v="2"/>
    <x v="2"/>
    <n v="2215"/>
    <n v="2006"/>
    <n v="62"/>
    <x v="50"/>
    <x v="9"/>
    <d v="2024-04-10T00:00:00"/>
    <n v="15.74"/>
    <n v="34864.1"/>
    <s v="GapShirt2215200662453924539215.74"/>
    <b v="0"/>
  </r>
  <r>
    <s v="ORD0057"/>
    <x v="2"/>
    <x v="2"/>
    <n v="3624"/>
    <n v="3409"/>
    <n v="264"/>
    <x v="51"/>
    <x v="6"/>
    <d v="2024-09-20T00:00:00"/>
    <n v="14.15"/>
    <n v="51279.6"/>
    <s v="GapShirt36243409264455534555514.15"/>
    <b v="0"/>
  </r>
  <r>
    <s v="ORD0058"/>
    <x v="4"/>
    <x v="3"/>
    <n v="1491"/>
    <n v="1460"/>
    <n v="69"/>
    <x v="32"/>
    <x v="4"/>
    <d v="2024-11-10T00:00:00"/>
    <n v="17.75"/>
    <n v="26465.25"/>
    <s v="PrimarkT-shirt1491146069455994560617.75"/>
    <b v="0"/>
  </r>
  <r>
    <s v="ORD0059"/>
    <x v="1"/>
    <x v="2"/>
    <n v="4864"/>
    <n v="5084"/>
    <n v="305"/>
    <x v="52"/>
    <x v="0"/>
    <d v="2024-05-04T00:00:00"/>
    <n v="5.82"/>
    <n v="28308.480000000003"/>
    <s v="UniqloShirt4864508430545411454165.82"/>
    <b v="0"/>
  </r>
  <r>
    <s v="ORD0060"/>
    <x v="0"/>
    <x v="1"/>
    <n v="4175"/>
    <n v="4223"/>
    <n v="116"/>
    <x v="53"/>
    <x v="4"/>
    <d v="2024-11-18T00:00:00"/>
    <n v="8.69"/>
    <n v="36280.75"/>
    <s v="H&amp;MHoodie4175422311645609456148.69"/>
    <b v="0"/>
  </r>
  <r>
    <s v="ORD0061"/>
    <x v="2"/>
    <x v="4"/>
    <n v="1650"/>
    <n v="1657"/>
    <n v="64"/>
    <x v="54"/>
    <x v="7"/>
    <d v="2024-01-06T00:00:00"/>
    <n v="8.4700000000000006"/>
    <n v="13975.500000000002"/>
    <s v="GapJacket165016576445292452978.47"/>
    <b v="0"/>
  </r>
  <r>
    <s v="ORD0062"/>
    <x v="2"/>
    <x v="1"/>
    <n v="3349"/>
    <n v="3134"/>
    <n v="51"/>
    <x v="11"/>
    <x v="5"/>
    <d v="2024-08-26T00:00:00"/>
    <n v="8.66"/>
    <n v="29002.34"/>
    <s v="GapHoodie334931345145528455308.66"/>
    <b v="0"/>
  </r>
  <r>
    <s v="ORD0063"/>
    <x v="0"/>
    <x v="1"/>
    <n v="3843"/>
    <n v="3756"/>
    <n v="210"/>
    <x v="55"/>
    <x v="11"/>
    <d v="2024-12-19T00:00:00"/>
    <n v="13.71"/>
    <n v="52687.530000000006"/>
    <s v="H&amp;MHoodie38433756210456404564513.71"/>
    <b v="0"/>
  </r>
  <r>
    <s v="ORD0064"/>
    <x v="0"/>
    <x v="0"/>
    <n v="3647"/>
    <n v="3591"/>
    <n v="75"/>
    <x v="56"/>
    <x v="1"/>
    <d v="2024-10-14T00:00:00"/>
    <n v="7.4"/>
    <n v="26987.800000000003"/>
    <s v="H&amp;MJeans364735917545576455797.4"/>
    <b v="0"/>
  </r>
  <r>
    <s v="ORD0065"/>
    <x v="0"/>
    <x v="0"/>
    <n v="1743"/>
    <n v="1580"/>
    <n v="20"/>
    <x v="57"/>
    <x v="10"/>
    <d v="2024-07-29T00:00:00"/>
    <n v="22.11"/>
    <n v="38537.729999999996"/>
    <s v="H&amp;MJeans1743158020454954550222.11"/>
    <b v="0"/>
  </r>
  <r>
    <s v="ORD0066"/>
    <x v="1"/>
    <x v="4"/>
    <n v="2765"/>
    <n v="2805"/>
    <n v="186"/>
    <x v="58"/>
    <x v="6"/>
    <d v="2024-09-13T00:00:00"/>
    <n v="11.93"/>
    <n v="32986.449999999997"/>
    <s v="UniqloJacket27652805186455454554811.93"/>
    <b v="0"/>
  </r>
  <r>
    <s v="ORD0067"/>
    <x v="1"/>
    <x v="4"/>
    <n v="4952"/>
    <n v="4752"/>
    <n v="252"/>
    <x v="59"/>
    <x v="1"/>
    <d v="2024-10-17T00:00:00"/>
    <n v="17.7"/>
    <n v="87650.4"/>
    <s v="UniqloJacket49524752252455814558217.7"/>
    <b v="0"/>
  </r>
  <r>
    <s v="ORD0068"/>
    <x v="0"/>
    <x v="4"/>
    <n v="4230"/>
    <n v="4126"/>
    <n v="288"/>
    <x v="60"/>
    <x v="7"/>
    <d v="2024-01-11T00:00:00"/>
    <n v="18.170000000000002"/>
    <n v="76859.100000000006"/>
    <s v="H&amp;MJacket42304126288452954530218.17"/>
    <b v="0"/>
  </r>
  <r>
    <s v="ORD0069"/>
    <x v="0"/>
    <x v="2"/>
    <n v="3339"/>
    <n v="3477"/>
    <n v="264"/>
    <x v="61"/>
    <x v="3"/>
    <d v="2024-06-08T00:00:00"/>
    <n v="22.34"/>
    <n v="74593.259999999995"/>
    <s v="H&amp;MShirt33393477264454514545122.34"/>
    <b v="0"/>
  </r>
  <r>
    <s v="ORD0070"/>
    <x v="1"/>
    <x v="3"/>
    <n v="1351"/>
    <n v="1332"/>
    <n v="49"/>
    <x v="62"/>
    <x v="3"/>
    <d v="2024-06-27T00:00:00"/>
    <n v="17.87"/>
    <n v="24142.370000000003"/>
    <s v="UniqloT-shirt1351133249454704547017.87"/>
    <b v="0"/>
  </r>
  <r>
    <s v="ORD0071"/>
    <x v="2"/>
    <x v="4"/>
    <n v="4413"/>
    <n v="4108"/>
    <n v="119"/>
    <x v="42"/>
    <x v="1"/>
    <d v="2024-10-28T00:00:00"/>
    <n v="9.2899999999999991"/>
    <n v="40996.769999999997"/>
    <s v="GapJacket4413410811945593455939.29"/>
    <b v="0"/>
  </r>
  <r>
    <s v="ORD0072"/>
    <x v="2"/>
    <x v="3"/>
    <n v="3046"/>
    <n v="3023"/>
    <n v="101"/>
    <x v="63"/>
    <x v="9"/>
    <d v="2024-04-02T00:00:00"/>
    <n v="18.11"/>
    <n v="55163.06"/>
    <s v="GapT-shirt30463023101453844538418.11"/>
    <b v="0"/>
  </r>
  <r>
    <s v="ORD0073"/>
    <x v="4"/>
    <x v="1"/>
    <n v="2125"/>
    <n v="2021"/>
    <n v="57"/>
    <x v="64"/>
    <x v="4"/>
    <d v="2024-11-11T00:00:00"/>
    <n v="14.92"/>
    <n v="31705"/>
    <s v="PrimarkHoodie2125202157456054560714.92"/>
    <b v="0"/>
  </r>
  <r>
    <s v="ORD0074"/>
    <x v="4"/>
    <x v="4"/>
    <n v="2016"/>
    <n v="2097"/>
    <n v="26"/>
    <x v="65"/>
    <x v="6"/>
    <d v="2024-09-06T00:00:00"/>
    <n v="13.36"/>
    <n v="26933.759999999998"/>
    <s v="PrimarkJacket2016209726455404554113.36"/>
    <b v="0"/>
  </r>
  <r>
    <s v="ORD0075"/>
    <x v="2"/>
    <x v="2"/>
    <n v="3965"/>
    <n v="3820"/>
    <n v="190"/>
    <x v="16"/>
    <x v="9"/>
    <d v="2024-04-15T00:00:00"/>
    <n v="16.52"/>
    <n v="65501.799999999996"/>
    <s v="GapShirt39653820190453904539716.52"/>
    <b v="0"/>
  </r>
  <r>
    <s v="ORD0076"/>
    <x v="3"/>
    <x v="0"/>
    <n v="2071"/>
    <n v="1979"/>
    <n v="127"/>
    <x v="66"/>
    <x v="10"/>
    <d v="2024-07-15T00:00:00"/>
    <n v="11.82"/>
    <n v="24479.22"/>
    <s v="ZaraJeans20711979127454814548811.82"/>
    <b v="0"/>
  </r>
  <r>
    <s v="ORD0077"/>
    <x v="1"/>
    <x v="0"/>
    <n v="4632"/>
    <n v="4334"/>
    <n v="249"/>
    <x v="67"/>
    <x v="11"/>
    <d v="2024-12-20T00:00:00"/>
    <n v="19.8"/>
    <n v="91713.600000000006"/>
    <s v="UniqloJeans46324334249456464564619.8"/>
    <b v="0"/>
  </r>
  <r>
    <s v="ORD0078"/>
    <x v="2"/>
    <x v="3"/>
    <n v="4452"/>
    <n v="4344"/>
    <n v="294"/>
    <x v="68"/>
    <x v="10"/>
    <d v="2024-07-05T00:00:00"/>
    <n v="11.4"/>
    <n v="50752.800000000003"/>
    <s v="GapT-shirt44524344294454784547811.4"/>
    <b v="0"/>
  </r>
  <r>
    <s v="ORD0079"/>
    <x v="4"/>
    <x v="3"/>
    <n v="895"/>
    <n v="934"/>
    <n v="64"/>
    <x v="69"/>
    <x v="1"/>
    <d v="2024-10-13T00:00:00"/>
    <n v="12.1"/>
    <n v="10829.5"/>
    <s v="PrimarkT-shirt89593464455754557812.1"/>
    <b v="0"/>
  </r>
  <r>
    <s v="ORD0080"/>
    <x v="4"/>
    <x v="2"/>
    <n v="3282"/>
    <n v="3421"/>
    <n v="171"/>
    <x v="70"/>
    <x v="2"/>
    <d v="2024-03-09T00:00:00"/>
    <n v="17.64"/>
    <n v="57894.48"/>
    <s v="PrimarkShirt32823421171453604536017.64"/>
    <b v="0"/>
  </r>
  <r>
    <s v="ORD0081"/>
    <x v="2"/>
    <x v="0"/>
    <n v="4991"/>
    <n v="4737"/>
    <n v="270"/>
    <x v="45"/>
    <x v="3"/>
    <d v="2024-06-06T00:00:00"/>
    <n v="20.05"/>
    <n v="100069.55"/>
    <s v="GapJeans49914737270454424544920.05"/>
    <b v="0"/>
  </r>
  <r>
    <s v="ORD0082"/>
    <x v="4"/>
    <x v="0"/>
    <n v="3116"/>
    <n v="2857"/>
    <n v="214"/>
    <x v="71"/>
    <x v="5"/>
    <d v="2024-08-10T00:00:00"/>
    <n v="24.48"/>
    <n v="76279.680000000008"/>
    <s v="PrimarkJeans31162857214455144551424.48"/>
    <b v="0"/>
  </r>
  <r>
    <s v="ORD0083"/>
    <x v="1"/>
    <x v="1"/>
    <n v="1656"/>
    <n v="1673"/>
    <n v="80"/>
    <x v="72"/>
    <x v="5"/>
    <d v="2024-08-27T00:00:00"/>
    <n v="19.12"/>
    <n v="31662.720000000001"/>
    <s v="UniqloHoodie1656167380455304553119.12"/>
    <b v="0"/>
  </r>
  <r>
    <s v="ORD0084"/>
    <x v="4"/>
    <x v="0"/>
    <n v="1453"/>
    <n v="1442"/>
    <n v="24"/>
    <x v="73"/>
    <x v="0"/>
    <d v="2024-05-27T00:00:00"/>
    <n v="6.68"/>
    <n v="9706.0399999999991"/>
    <s v="PrimarkJeans145314422445432454396.68"/>
    <b v="0"/>
  </r>
  <r>
    <s v="ORD0085"/>
    <x v="4"/>
    <x v="1"/>
    <n v="3493"/>
    <n v="3611"/>
    <n v="73"/>
    <x v="74"/>
    <x v="11"/>
    <d v="2024-12-11T00:00:00"/>
    <n v="15.27"/>
    <n v="53338.11"/>
    <s v="PrimarkHoodie3493361173456304563715.27"/>
    <b v="0"/>
  </r>
  <r>
    <s v="ORD0086"/>
    <x v="3"/>
    <x v="1"/>
    <n v="1888"/>
    <n v="1804"/>
    <n v="120"/>
    <x v="75"/>
    <x v="5"/>
    <d v="2024-08-06T00:00:00"/>
    <n v="23.94"/>
    <n v="45198.720000000001"/>
    <s v="ZaraHoodie18881804120455084551023.94"/>
    <b v="0"/>
  </r>
  <r>
    <s v="ORD0087"/>
    <x v="1"/>
    <x v="4"/>
    <n v="1655"/>
    <n v="1576"/>
    <n v="93"/>
    <x v="76"/>
    <x v="12"/>
    <d v="2025-01-01T00:00:00"/>
    <n v="14.63"/>
    <n v="24212.65"/>
    <s v="UniqloJacket1655157693456554565814.63"/>
    <b v="0"/>
  </r>
  <r>
    <s v="ORD0088"/>
    <x v="0"/>
    <x v="3"/>
    <n v="2714"/>
    <n v="2615"/>
    <n v="192"/>
    <x v="77"/>
    <x v="3"/>
    <d v="2024-06-23T00:00:00"/>
    <n v="7.22"/>
    <n v="19595.079999999998"/>
    <s v="H&amp;MT-shirt2714261519245464454667.22"/>
    <b v="0"/>
  </r>
  <r>
    <s v="ORD0089"/>
    <x v="1"/>
    <x v="4"/>
    <n v="1743"/>
    <n v="1718"/>
    <n v="106"/>
    <x v="78"/>
    <x v="11"/>
    <d v="2024-12-31T00:00:00"/>
    <n v="20.34"/>
    <n v="35452.620000000003"/>
    <s v="UniqloJacket17431718106456524565720.34"/>
    <b v="0"/>
  </r>
  <r>
    <s v="ORD0090"/>
    <x v="4"/>
    <x v="3"/>
    <n v="3572"/>
    <n v="3579"/>
    <n v="95"/>
    <x v="79"/>
    <x v="4"/>
    <d v="2024-11-07T00:00:00"/>
    <n v="13"/>
    <n v="46436"/>
    <s v="PrimarkT-shirt3572357995456034560313"/>
    <b v="0"/>
  </r>
  <r>
    <s v="ORD0091"/>
    <x v="0"/>
    <x v="0"/>
    <n v="633"/>
    <n v="645"/>
    <n v="50"/>
    <x v="80"/>
    <x v="1"/>
    <d v="2024-10-31T00:00:00"/>
    <n v="16.12"/>
    <n v="10203.960000000001"/>
    <s v="H&amp;MJeans63364550455944559616.12"/>
    <b v="0"/>
  </r>
  <r>
    <s v="ORD0092"/>
    <x v="4"/>
    <x v="3"/>
    <n v="4675"/>
    <n v="4577"/>
    <n v="363"/>
    <x v="81"/>
    <x v="5"/>
    <d v="2024-08-14T00:00:00"/>
    <n v="6.48"/>
    <n v="30294.000000000004"/>
    <s v="PrimarkT-shirt4675457736345518455186.48"/>
    <b v="0"/>
  </r>
  <r>
    <s v="ORD0093"/>
    <x v="2"/>
    <x v="4"/>
    <n v="4012"/>
    <n v="3925"/>
    <n v="212"/>
    <x v="54"/>
    <x v="7"/>
    <d v="2024-01-03T00:00:00"/>
    <n v="18.91"/>
    <n v="75866.92"/>
    <s v="GapJacket40123925212452924529418.91"/>
    <b v="0"/>
  </r>
  <r>
    <s v="ORD0094"/>
    <x v="1"/>
    <x v="2"/>
    <n v="4137"/>
    <n v="4085"/>
    <n v="298"/>
    <x v="82"/>
    <x v="7"/>
    <d v="2024-01-12T00:00:00"/>
    <n v="5.91"/>
    <n v="24449.670000000002"/>
    <s v="UniqloShirt4137408529845303453035.91"/>
    <b v="0"/>
  </r>
  <r>
    <s v="ORD0095"/>
    <x v="1"/>
    <x v="0"/>
    <n v="3283"/>
    <n v="2983"/>
    <n v="112"/>
    <x v="83"/>
    <x v="7"/>
    <d v="2024-01-08T00:00:00"/>
    <n v="7.14"/>
    <n v="23440.62"/>
    <s v="UniqloJeans3283298311245299452997.14"/>
    <b v="0"/>
  </r>
  <r>
    <s v="ORD0096"/>
    <x v="2"/>
    <x v="3"/>
    <n v="4685"/>
    <n v="4489"/>
    <n v="116"/>
    <x v="84"/>
    <x v="11"/>
    <d v="2024-12-22T00:00:00"/>
    <n v="10.32"/>
    <n v="48349.200000000004"/>
    <s v="GapT-shirt46854489116456484564810.32"/>
    <b v="0"/>
  </r>
  <r>
    <s v="ORD0097"/>
    <x v="2"/>
    <x v="1"/>
    <n v="4275"/>
    <n v="4138"/>
    <n v="50"/>
    <x v="85"/>
    <x v="5"/>
    <d v="2024-08-01T00:00:00"/>
    <n v="10.6"/>
    <n v="45315"/>
    <s v="GapHoodie4275413850455034550510.6"/>
    <b v="0"/>
  </r>
  <r>
    <s v="ORD0098"/>
    <x v="3"/>
    <x v="1"/>
    <n v="3279"/>
    <n v="3084"/>
    <n v="59"/>
    <x v="86"/>
    <x v="2"/>
    <d v="2024-03-22T00:00:00"/>
    <n v="6.52"/>
    <n v="21379.079999999998"/>
    <s v="ZaraHoodie327930845945373453736.52"/>
    <b v="0"/>
  </r>
  <r>
    <s v="ORD0099"/>
    <x v="0"/>
    <x v="0"/>
    <n v="755"/>
    <n v="745"/>
    <n v="55"/>
    <x v="21"/>
    <x v="1"/>
    <d v="2024-10-12T00:00:00"/>
    <n v="6.65"/>
    <n v="5020.75"/>
    <s v="H&amp;MJeans7557455545577455776.65"/>
    <b v="0"/>
  </r>
  <r>
    <s v="ORD0100"/>
    <x v="0"/>
    <x v="2"/>
    <n v="1515"/>
    <n v="1449"/>
    <n v="96"/>
    <x v="87"/>
    <x v="3"/>
    <d v="2024-06-25T00:00:00"/>
    <n v="24.75"/>
    <n v="37496.25"/>
    <s v="H&amp;MShirt1515144996454684546824.75"/>
    <b v="0"/>
  </r>
  <r>
    <s v="ORD0101"/>
    <x v="0"/>
    <x v="3"/>
    <n v="4658"/>
    <n v="4466"/>
    <n v="303"/>
    <x v="88"/>
    <x v="9"/>
    <d v="2024-04-07T00:00:00"/>
    <n v="16.38"/>
    <n v="76298.039999999994"/>
    <s v="H&amp;MT-shirt46584466303453894538916.38"/>
    <b v="0"/>
  </r>
  <r>
    <s v="ORD0102"/>
    <x v="4"/>
    <x v="0"/>
    <n v="1010"/>
    <n v="950"/>
    <n v="13"/>
    <x v="89"/>
    <x v="10"/>
    <d v="2024-07-20T00:00:00"/>
    <n v="22.29"/>
    <n v="22512.899999999998"/>
    <s v="PrimarkJeans101095013454884549322.29"/>
    <b v="0"/>
  </r>
  <r>
    <s v="ORD0103"/>
    <x v="3"/>
    <x v="3"/>
    <n v="2168"/>
    <n v="2275"/>
    <n v="111"/>
    <x v="90"/>
    <x v="3"/>
    <d v="2024-06-13T00:00:00"/>
    <n v="20.38"/>
    <n v="44183.839999999997"/>
    <s v="ZaraT-shirt21682275111454564545620.38"/>
    <b v="0"/>
  </r>
  <r>
    <s v="ORD0104"/>
    <x v="2"/>
    <x v="1"/>
    <n v="4678"/>
    <n v="4383"/>
    <n v="182"/>
    <x v="91"/>
    <x v="8"/>
    <d v="2024-02-22T00:00:00"/>
    <n v="7.58"/>
    <n v="35459.24"/>
    <s v="GapHoodie4678438318245342453447.58"/>
    <b v="0"/>
  </r>
  <r>
    <s v="ORD0105"/>
    <x v="2"/>
    <x v="0"/>
    <n v="1216"/>
    <n v="1132"/>
    <n v="80"/>
    <x v="92"/>
    <x v="8"/>
    <d v="2024-02-04T00:00:00"/>
    <n v="20.14"/>
    <n v="24490.240000000002"/>
    <s v="GapJeans1216113280453254532620.14"/>
    <b v="0"/>
  </r>
  <r>
    <s v="ORD0106"/>
    <x v="3"/>
    <x v="1"/>
    <n v="2074"/>
    <n v="2075"/>
    <n v="96"/>
    <x v="93"/>
    <x v="4"/>
    <d v="2024-11-02T00:00:00"/>
    <n v="20.45"/>
    <n v="42413.299999999996"/>
    <s v="ZaraHoodie2074207596455974559820.45"/>
    <b v="0"/>
  </r>
  <r>
    <s v="ORD0107"/>
    <x v="2"/>
    <x v="2"/>
    <n v="2484"/>
    <n v="2441"/>
    <n v="120"/>
    <x v="94"/>
    <x v="4"/>
    <d v="2024-11-08T00:00:00"/>
    <n v="22.53"/>
    <n v="55964.520000000004"/>
    <s v="GapShirt24842441120456044560422.53"/>
    <b v="0"/>
  </r>
  <r>
    <s v="ORD0108"/>
    <x v="0"/>
    <x v="1"/>
    <n v="3314"/>
    <n v="2996"/>
    <n v="188"/>
    <x v="95"/>
    <x v="2"/>
    <d v="2024-03-06T00:00:00"/>
    <n v="17.41"/>
    <n v="57696.74"/>
    <s v="H&amp;MHoodie33142996188453574535717.41"/>
    <b v="0"/>
  </r>
  <r>
    <s v="ORD0109"/>
    <x v="2"/>
    <x v="1"/>
    <n v="2650"/>
    <n v="2439"/>
    <n v="26"/>
    <x v="88"/>
    <x v="9"/>
    <d v="2024-04-07T00:00:00"/>
    <n v="12.01"/>
    <n v="31826.5"/>
    <s v="GapHoodie2650243926453894538912.01"/>
    <b v="0"/>
  </r>
  <r>
    <s v="ORD0110"/>
    <x v="2"/>
    <x v="2"/>
    <n v="1858"/>
    <n v="1794"/>
    <n v="131"/>
    <x v="96"/>
    <x v="3"/>
    <d v="2024-06-14T00:00:00"/>
    <n v="11.97"/>
    <n v="22240.260000000002"/>
    <s v="GapShirt18581794131454574545711.97"/>
    <b v="0"/>
  </r>
  <r>
    <s v="ORD0111"/>
    <x v="3"/>
    <x v="3"/>
    <n v="1858"/>
    <n v="1782"/>
    <n v="95"/>
    <x v="97"/>
    <x v="0"/>
    <d v="2024-05-14T00:00:00"/>
    <n v="22.25"/>
    <n v="41340.5"/>
    <s v="ZaraT-shirt1858178295454244542622.25"/>
    <b v="0"/>
  </r>
  <r>
    <s v="ORD0112"/>
    <x v="1"/>
    <x v="4"/>
    <n v="637"/>
    <n v="661"/>
    <n v="29"/>
    <x v="70"/>
    <x v="2"/>
    <d v="2024-03-09T00:00:00"/>
    <n v="10.16"/>
    <n v="6471.92"/>
    <s v="UniqloJacket63766129453604536010.16"/>
    <b v="0"/>
  </r>
  <r>
    <s v="ORD0113"/>
    <x v="0"/>
    <x v="2"/>
    <n v="4800"/>
    <n v="4470"/>
    <n v="226"/>
    <x v="98"/>
    <x v="9"/>
    <d v="2024-04-20T00:00:00"/>
    <n v="11.83"/>
    <n v="56784"/>
    <s v="H&amp;MShirt48004470226454024540211.83"/>
    <b v="0"/>
  </r>
  <r>
    <s v="ORD0114"/>
    <x v="1"/>
    <x v="2"/>
    <n v="3945"/>
    <n v="3963"/>
    <n v="89"/>
    <x v="99"/>
    <x v="1"/>
    <d v="2024-10-07T00:00:00"/>
    <n v="18.93"/>
    <n v="74678.850000000006"/>
    <s v="UniqloShirt3945396389455724557218.93"/>
    <b v="0"/>
  </r>
  <r>
    <s v="ORD0115"/>
    <x v="4"/>
    <x v="4"/>
    <n v="2387"/>
    <n v="2318"/>
    <n v="131"/>
    <x v="0"/>
    <x v="0"/>
    <d v="2024-05-01T00:00:00"/>
    <n v="8.4499999999999993"/>
    <n v="20170.149999999998"/>
    <s v="PrimarkJacket2387231813145413454138.45"/>
    <b v="0"/>
  </r>
  <r>
    <s v="ORD0116"/>
    <x v="0"/>
    <x v="4"/>
    <n v="4400"/>
    <n v="3980"/>
    <n v="192"/>
    <x v="82"/>
    <x v="7"/>
    <d v="2024-01-12T00:00:00"/>
    <n v="15.69"/>
    <n v="69036"/>
    <s v="H&amp;MJacket44003980192453034530315.69"/>
    <b v="0"/>
  </r>
  <r>
    <s v="ORD0117"/>
    <x v="3"/>
    <x v="4"/>
    <n v="3617"/>
    <n v="3452"/>
    <n v="156"/>
    <x v="100"/>
    <x v="2"/>
    <d v="2024-03-13T00:00:00"/>
    <n v="18.809999999999999"/>
    <n v="68035.76999999999"/>
    <s v="ZaraJacket36173452156453644536418.81"/>
    <b v="0"/>
  </r>
  <r>
    <s v="ORD0118"/>
    <x v="4"/>
    <x v="2"/>
    <n v="2796"/>
    <n v="2718"/>
    <n v="158"/>
    <x v="101"/>
    <x v="9"/>
    <d v="2024-04-21T00:00:00"/>
    <n v="15.23"/>
    <n v="42583.08"/>
    <s v="PrimarkShirt27962718158453984540315.23"/>
    <b v="0"/>
  </r>
  <r>
    <s v="ORD0119"/>
    <x v="4"/>
    <x v="2"/>
    <n v="4643"/>
    <n v="4221"/>
    <n v="124"/>
    <x v="102"/>
    <x v="9"/>
    <d v="2024-04-22T00:00:00"/>
    <n v="21.12"/>
    <n v="98060.160000000003"/>
    <s v="PrimarkShirt46434221124454044540421.12"/>
    <b v="0"/>
  </r>
  <r>
    <s v="ORD0120"/>
    <x v="1"/>
    <x v="4"/>
    <n v="1776"/>
    <n v="1861"/>
    <n v="88"/>
    <x v="103"/>
    <x v="7"/>
    <d v="2024-01-14T00:00:00"/>
    <n v="23.48"/>
    <n v="41700.480000000003"/>
    <s v="UniqloJacket1776186188453054530523.48"/>
    <b v="0"/>
  </r>
  <r>
    <s v="ORD0121"/>
    <x v="0"/>
    <x v="0"/>
    <n v="4623"/>
    <n v="4416"/>
    <n v="187"/>
    <x v="103"/>
    <x v="7"/>
    <d v="2024-01-14T00:00:00"/>
    <n v="19.95"/>
    <n v="92228.849999999991"/>
    <s v="H&amp;MJeans46234416187453054530519.95"/>
    <b v="0"/>
  </r>
  <r>
    <s v="ORD0122"/>
    <x v="1"/>
    <x v="0"/>
    <n v="2146"/>
    <n v="2203"/>
    <n v="137"/>
    <x v="104"/>
    <x v="6"/>
    <d v="2024-09-30T00:00:00"/>
    <n v="5.61"/>
    <n v="12039.060000000001"/>
    <s v="UniqloJeans2146220313745565455655.61"/>
    <b v="0"/>
  </r>
  <r>
    <s v="ORD0123"/>
    <x v="1"/>
    <x v="0"/>
    <n v="2406"/>
    <n v="2252"/>
    <n v="64"/>
    <x v="105"/>
    <x v="10"/>
    <d v="2024-07-25T00:00:00"/>
    <n v="12.55"/>
    <n v="30195.300000000003"/>
    <s v="UniqloJeans2406225264454934549812.55"/>
    <b v="0"/>
  </r>
  <r>
    <s v="ORD0124"/>
    <x v="2"/>
    <x v="0"/>
    <n v="2476"/>
    <n v="2540"/>
    <n v="41"/>
    <x v="106"/>
    <x v="7"/>
    <d v="2024-01-25T00:00:00"/>
    <n v="15.71"/>
    <n v="38897.96"/>
    <s v="GapJeans2476254041453164531615.71"/>
    <b v="0"/>
  </r>
  <r>
    <s v="ORD0125"/>
    <x v="3"/>
    <x v="4"/>
    <n v="4096"/>
    <n v="4051"/>
    <n v="233"/>
    <x v="107"/>
    <x v="9"/>
    <d v="2024-04-18T00:00:00"/>
    <n v="20.78"/>
    <n v="85114.880000000005"/>
    <s v="ZaraJacket40964051233454004540020.78"/>
    <b v="0"/>
  </r>
  <r>
    <s v="ORD0126"/>
    <x v="0"/>
    <x v="2"/>
    <n v="2658"/>
    <n v="2625"/>
    <n v="161"/>
    <x v="108"/>
    <x v="5"/>
    <d v="2024-08-23T00:00:00"/>
    <n v="16.149999999999999"/>
    <n v="42926.7"/>
    <s v="H&amp;MShirt26582625161455274552716.15"/>
    <b v="0"/>
  </r>
  <r>
    <s v="ORD0127"/>
    <x v="2"/>
    <x v="1"/>
    <n v="2972"/>
    <n v="2825"/>
    <n v="206"/>
    <x v="24"/>
    <x v="4"/>
    <d v="2024-11-12T00:00:00"/>
    <n v="17.149999999999999"/>
    <n v="50969.799999999996"/>
    <s v="GapHoodie29722825206456064560817.15"/>
    <b v="0"/>
  </r>
  <r>
    <s v="ORD0128"/>
    <x v="4"/>
    <x v="1"/>
    <n v="4312"/>
    <n v="4484"/>
    <n v="47"/>
    <x v="109"/>
    <x v="2"/>
    <d v="2024-03-15T00:00:00"/>
    <n v="9.51"/>
    <n v="41007.120000000003"/>
    <s v="PrimarkHoodie431244844745361453669.51"/>
    <b v="0"/>
  </r>
  <r>
    <s v="ORD0129"/>
    <x v="4"/>
    <x v="3"/>
    <n v="3063"/>
    <n v="3147"/>
    <n v="50"/>
    <x v="110"/>
    <x v="3"/>
    <d v="2024-06-05T00:00:00"/>
    <n v="21.12"/>
    <n v="64690.560000000005"/>
    <s v="PrimarkT-shirt3063314750454434544821.12"/>
    <b v="0"/>
  </r>
  <r>
    <s v="ORD0130"/>
    <x v="0"/>
    <x v="4"/>
    <n v="1660"/>
    <n v="1513"/>
    <n v="70"/>
    <x v="111"/>
    <x v="8"/>
    <d v="2024-02-12T00:00:00"/>
    <n v="13.21"/>
    <n v="21928.600000000002"/>
    <s v="H&amp;MJacket1660151370453274533413.21"/>
    <b v="0"/>
  </r>
  <r>
    <s v="ORD0131"/>
    <x v="2"/>
    <x v="4"/>
    <n v="505"/>
    <n v="484"/>
    <n v="37"/>
    <x v="112"/>
    <x v="0"/>
    <d v="2024-05-16T00:00:00"/>
    <n v="22.31"/>
    <n v="11266.55"/>
    <s v="GapJacket50548437454254542822.31"/>
    <b v="0"/>
  </r>
  <r>
    <s v="ORD0132"/>
    <x v="2"/>
    <x v="2"/>
    <n v="3428"/>
    <n v="3337"/>
    <n v="202"/>
    <x v="113"/>
    <x v="10"/>
    <d v="2024-07-17T00:00:00"/>
    <n v="21.42"/>
    <n v="73427.760000000009"/>
    <s v="GapShirt34283337202454854549021.42"/>
    <b v="0"/>
  </r>
  <r>
    <s v="ORD0133"/>
    <x v="1"/>
    <x v="0"/>
    <n v="3262"/>
    <n v="3215"/>
    <n v="95"/>
    <x v="114"/>
    <x v="4"/>
    <d v="2024-11-21T00:00:00"/>
    <n v="20.39"/>
    <n v="66512.180000000008"/>
    <s v="UniqloJeans3262321595456174561720.39"/>
    <b v="0"/>
  </r>
  <r>
    <s v="ORD0134"/>
    <x v="2"/>
    <x v="2"/>
    <n v="1641"/>
    <n v="1651"/>
    <n v="39"/>
    <x v="115"/>
    <x v="0"/>
    <d v="2024-05-24T00:00:00"/>
    <n v="19.72"/>
    <n v="32360.519999999997"/>
    <s v="GapShirt1641165139454314543619.72"/>
    <b v="0"/>
  </r>
  <r>
    <s v="ORD0135"/>
    <x v="1"/>
    <x v="1"/>
    <n v="2548"/>
    <n v="2526"/>
    <n v="76"/>
    <x v="116"/>
    <x v="0"/>
    <d v="2024-05-23T00:00:00"/>
    <n v="16.62"/>
    <n v="42347.76"/>
    <s v="UniqloHoodie2548252676454304543516.62"/>
    <b v="0"/>
  </r>
  <r>
    <s v="ORD0136"/>
    <x v="0"/>
    <x v="2"/>
    <n v="2526"/>
    <n v="2498"/>
    <n v="89"/>
    <x v="117"/>
    <x v="6"/>
    <d v="2024-09-22T00:00:00"/>
    <n v="14.09"/>
    <n v="35591.339999999997"/>
    <s v="H&amp;MShirt2526249889455524555714.09"/>
    <b v="0"/>
  </r>
  <r>
    <s v="ORD0137"/>
    <x v="3"/>
    <x v="4"/>
    <n v="2173"/>
    <n v="2278"/>
    <n v="74"/>
    <x v="118"/>
    <x v="4"/>
    <d v="2024-11-21T00:00:00"/>
    <n v="21.2"/>
    <n v="46067.6"/>
    <s v="ZaraJacket2173227874456124561721.2"/>
    <b v="0"/>
  </r>
  <r>
    <s v="ORD0138"/>
    <x v="1"/>
    <x v="0"/>
    <n v="2876"/>
    <n v="2916"/>
    <n v="150"/>
    <x v="119"/>
    <x v="9"/>
    <d v="2024-04-08T00:00:00"/>
    <n v="14.43"/>
    <n v="41500.68"/>
    <s v="UniqloJeans28762916150453854539014.43"/>
    <b v="0"/>
  </r>
  <r>
    <s v="ORD0139"/>
    <x v="0"/>
    <x v="4"/>
    <n v="2104"/>
    <n v="2155"/>
    <n v="167"/>
    <x v="120"/>
    <x v="0"/>
    <d v="2024-05-16T00:00:00"/>
    <n v="7.49"/>
    <n v="15758.960000000001"/>
    <s v="H&amp;MJacket2104215516745428454287.49"/>
    <b v="0"/>
  </r>
  <r>
    <s v="ORD0140"/>
    <x v="2"/>
    <x v="1"/>
    <n v="3135"/>
    <n v="2999"/>
    <n v="224"/>
    <x v="121"/>
    <x v="2"/>
    <d v="2024-03-07T00:00:00"/>
    <n v="19.43"/>
    <n v="60913.049999999996"/>
    <s v="GapHoodie31352999224453514535819.43"/>
    <b v="0"/>
  </r>
  <r>
    <s v="ORD0141"/>
    <x v="2"/>
    <x v="4"/>
    <n v="4350"/>
    <n v="4433"/>
    <n v="106"/>
    <x v="122"/>
    <x v="5"/>
    <d v="2024-08-02T00:00:00"/>
    <n v="8.27"/>
    <n v="35974.5"/>
    <s v="GapJacket4350443310645504455068.27"/>
    <b v="0"/>
  </r>
  <r>
    <s v="ORD0142"/>
    <x v="0"/>
    <x v="2"/>
    <n v="3398"/>
    <n v="3397"/>
    <n v="158"/>
    <x v="11"/>
    <x v="5"/>
    <d v="2024-08-24T00:00:00"/>
    <n v="12.18"/>
    <n v="41387.64"/>
    <s v="H&amp;MShirt33983397158455284552812.18"/>
    <b v="0"/>
  </r>
  <r>
    <s v="ORD0143"/>
    <x v="1"/>
    <x v="3"/>
    <n v="2636"/>
    <n v="2642"/>
    <n v="110"/>
    <x v="123"/>
    <x v="1"/>
    <d v="2024-10-14T00:00:00"/>
    <n v="19.28"/>
    <n v="50822.080000000002"/>
    <s v="UniqloT-shirt26362642110455794557919.28"/>
    <b v="0"/>
  </r>
  <r>
    <s v="ORD0144"/>
    <x v="0"/>
    <x v="4"/>
    <n v="2690"/>
    <n v="2654"/>
    <n v="92"/>
    <x v="124"/>
    <x v="4"/>
    <d v="2024-11-11T00:00:00"/>
    <n v="12.83"/>
    <n v="34512.699999999997"/>
    <s v="H&amp;MJacket2690265492456004560712.83"/>
    <b v="0"/>
  </r>
  <r>
    <s v="ORD0145"/>
    <x v="2"/>
    <x v="4"/>
    <n v="2651"/>
    <n v="2634"/>
    <n v="47"/>
    <x v="62"/>
    <x v="10"/>
    <d v="2024-07-04T00:00:00"/>
    <n v="23.8"/>
    <n v="63093.8"/>
    <s v="GapJacket2651263447454704547723.8"/>
    <b v="0"/>
  </r>
  <r>
    <s v="ORD0146"/>
    <x v="0"/>
    <x v="0"/>
    <n v="2535"/>
    <n v="2563"/>
    <n v="128"/>
    <x v="125"/>
    <x v="9"/>
    <d v="2024-04-08T00:00:00"/>
    <n v="24.95"/>
    <n v="63248.25"/>
    <s v="H&amp;MJeans25352563128453884539024.95"/>
    <b v="0"/>
  </r>
  <r>
    <s v="ORD0147"/>
    <x v="3"/>
    <x v="2"/>
    <n v="1450"/>
    <n v="1336"/>
    <n v="32"/>
    <x v="126"/>
    <x v="7"/>
    <d v="2024-01-05T00:00:00"/>
    <n v="19.28"/>
    <n v="27956"/>
    <s v="ZaraShirt1450133632452964529619.28"/>
    <b v="0"/>
  </r>
  <r>
    <s v="ORD0148"/>
    <x v="0"/>
    <x v="2"/>
    <n v="2365"/>
    <n v="2249"/>
    <n v="151"/>
    <x v="127"/>
    <x v="5"/>
    <d v="2024-08-17T00:00:00"/>
    <n v="7.21"/>
    <n v="17051.650000000001"/>
    <s v="H&amp;MShirt2365224915145519455217.21"/>
    <b v="0"/>
  </r>
  <r>
    <s v="ORD0149"/>
    <x v="4"/>
    <x v="3"/>
    <n v="3728"/>
    <n v="3657"/>
    <n v="161"/>
    <x v="77"/>
    <x v="3"/>
    <d v="2024-06-21T00:00:00"/>
    <n v="13.18"/>
    <n v="49135.040000000001"/>
    <s v="PrimarkT-shirt37283657161454644546413.18"/>
    <b v="0"/>
  </r>
  <r>
    <s v="ORD0150"/>
    <x v="4"/>
    <x v="2"/>
    <n v="594"/>
    <n v="587"/>
    <n v="29"/>
    <x v="39"/>
    <x v="1"/>
    <d v="2024-10-11T00:00:00"/>
    <n v="19.32"/>
    <n v="11476.08"/>
    <s v="PrimarkShirt59458729455744557619.32"/>
    <b v="0"/>
  </r>
  <r>
    <s v="ORD0151"/>
    <x v="1"/>
    <x v="2"/>
    <n v="4606"/>
    <n v="4808"/>
    <n v="163"/>
    <x v="128"/>
    <x v="7"/>
    <d v="2024-01-28T00:00:00"/>
    <n v="9.5500000000000007"/>
    <n v="43987.3"/>
    <s v="UniqloShirt4606480816345314453199.55"/>
    <b v="0"/>
  </r>
  <r>
    <s v="ORD0152"/>
    <x v="2"/>
    <x v="0"/>
    <n v="845"/>
    <n v="880"/>
    <n v="18"/>
    <x v="129"/>
    <x v="10"/>
    <d v="2024-07-28T00:00:00"/>
    <n v="16.72"/>
    <n v="14128.4"/>
    <s v="GapJeans84588018455014550116.72"/>
    <b v="0"/>
  </r>
  <r>
    <s v="ORD0153"/>
    <x v="2"/>
    <x v="2"/>
    <n v="2139"/>
    <n v="2204"/>
    <n v="165"/>
    <x v="130"/>
    <x v="4"/>
    <d v="2024-11-21T00:00:00"/>
    <n v="16.3"/>
    <n v="34865.700000000004"/>
    <s v="GapShirt21392204165456154561716.3"/>
    <b v="0"/>
  </r>
  <r>
    <s v="ORD0154"/>
    <x v="4"/>
    <x v="4"/>
    <n v="3435"/>
    <n v="3103"/>
    <n v="172"/>
    <x v="131"/>
    <x v="1"/>
    <d v="2024-10-13T00:00:00"/>
    <n v="20.420000000000002"/>
    <n v="70142.700000000012"/>
    <s v="PrimarkJacket34353103172455784557820.42"/>
    <b v="0"/>
  </r>
  <r>
    <s v="ORD0155"/>
    <x v="4"/>
    <x v="4"/>
    <n v="4646"/>
    <n v="4694"/>
    <n v="353"/>
    <x v="132"/>
    <x v="6"/>
    <d v="2024-09-16T00:00:00"/>
    <n v="23.51"/>
    <n v="109227.46"/>
    <s v="PrimarkJacket46464694353455484555123.51"/>
    <b v="0"/>
  </r>
  <r>
    <s v="ORD0156"/>
    <x v="2"/>
    <x v="0"/>
    <n v="3976"/>
    <n v="3677"/>
    <n v="84"/>
    <x v="54"/>
    <x v="7"/>
    <d v="2024-01-06T00:00:00"/>
    <n v="21.75"/>
    <n v="86478"/>
    <s v="GapJeans3976367784452924529721.75"/>
    <b v="0"/>
  </r>
  <r>
    <s v="ORD0157"/>
    <x v="1"/>
    <x v="2"/>
    <n v="4521"/>
    <n v="4420"/>
    <n v="227"/>
    <x v="124"/>
    <x v="4"/>
    <d v="2024-11-04T00:00:00"/>
    <n v="12.98"/>
    <n v="58682.58"/>
    <s v="UniqloShirt45214420227456004560012.98"/>
    <b v="0"/>
  </r>
  <r>
    <s v="ORD0158"/>
    <x v="2"/>
    <x v="1"/>
    <n v="701"/>
    <n v="715"/>
    <n v="7"/>
    <x v="133"/>
    <x v="2"/>
    <d v="2024-03-04T00:00:00"/>
    <n v="11.67"/>
    <n v="8180.67"/>
    <s v="GapHoodie7017157453544535511.67"/>
    <b v="0"/>
  </r>
  <r>
    <s v="ORD0159"/>
    <x v="3"/>
    <x v="4"/>
    <n v="1036"/>
    <n v="1066"/>
    <n v="79"/>
    <x v="134"/>
    <x v="11"/>
    <d v="2024-12-12T00:00:00"/>
    <n v="14.31"/>
    <n v="14825.16"/>
    <s v="ZaraJacket1036106679456384563814.31"/>
    <b v="0"/>
  </r>
  <r>
    <s v="ORD0160"/>
    <x v="4"/>
    <x v="1"/>
    <n v="1454"/>
    <n v="1407"/>
    <n v="27"/>
    <x v="135"/>
    <x v="10"/>
    <d v="2024-07-01T00:00:00"/>
    <n v="8.5299999999999994"/>
    <n v="12402.619999999999"/>
    <s v="PrimarkHoodie145414072745471454748.53"/>
    <b v="0"/>
  </r>
  <r>
    <s v="ORD0161"/>
    <x v="4"/>
    <x v="4"/>
    <n v="4072"/>
    <n v="4223"/>
    <n v="149"/>
    <x v="136"/>
    <x v="0"/>
    <d v="2024-05-29T00:00:00"/>
    <n v="16.61"/>
    <n v="67635.92"/>
    <s v="PrimarkJacket40724223149454414544116.61"/>
    <b v="0"/>
  </r>
  <r>
    <s v="ORD0162"/>
    <x v="4"/>
    <x v="1"/>
    <n v="2703"/>
    <n v="2518"/>
    <n v="115"/>
    <x v="78"/>
    <x v="11"/>
    <d v="2024-12-26T00:00:00"/>
    <n v="24.51"/>
    <n v="66250.53"/>
    <s v="PrimarkHoodie27032518115456524565224.51"/>
    <b v="0"/>
  </r>
  <r>
    <s v="ORD0163"/>
    <x v="4"/>
    <x v="1"/>
    <n v="4743"/>
    <n v="4563"/>
    <n v="72"/>
    <x v="137"/>
    <x v="8"/>
    <d v="2024-02-23T00:00:00"/>
    <n v="24.94"/>
    <n v="118290.42000000001"/>
    <s v="PrimarkHoodie4743456372453404534524.94"/>
    <b v="0"/>
  </r>
  <r>
    <s v="ORD0164"/>
    <x v="0"/>
    <x v="1"/>
    <n v="2292"/>
    <n v="2169"/>
    <n v="82"/>
    <x v="138"/>
    <x v="5"/>
    <d v="2024-08-01T00:00:00"/>
    <n v="13.54"/>
    <n v="31033.679999999997"/>
    <s v="H&amp;MHoodie2292216982455024550513.54"/>
    <b v="0"/>
  </r>
  <r>
    <s v="ORD0165"/>
    <x v="3"/>
    <x v="1"/>
    <n v="2579"/>
    <n v="2502"/>
    <n v="134"/>
    <x v="30"/>
    <x v="0"/>
    <d v="2024-05-30T00:00:00"/>
    <n v="12.55"/>
    <n v="32366.45"/>
    <s v="ZaraHoodie25792502134454354544212.55"/>
    <b v="0"/>
  </r>
  <r>
    <s v="ORD0166"/>
    <x v="2"/>
    <x v="1"/>
    <n v="2565"/>
    <n v="2421"/>
    <n v="145"/>
    <x v="102"/>
    <x v="9"/>
    <d v="2024-04-22T00:00:00"/>
    <n v="15.55"/>
    <n v="39885.75"/>
    <s v="GapHoodie25652421145454044540415.55"/>
    <b v="0"/>
  </r>
  <r>
    <s v="ORD0167"/>
    <x v="4"/>
    <x v="4"/>
    <n v="3793"/>
    <n v="3732"/>
    <n v="77"/>
    <x v="139"/>
    <x v="8"/>
    <d v="2024-02-29T00:00:00"/>
    <n v="8.64"/>
    <n v="32771.520000000004"/>
    <s v="PrimarkJacket379337327745346453518.64"/>
    <b v="0"/>
  </r>
  <r>
    <s v="ORD0168"/>
    <x v="4"/>
    <x v="0"/>
    <n v="1981"/>
    <n v="2049"/>
    <n v="96"/>
    <x v="139"/>
    <x v="8"/>
    <d v="2024-02-25T00:00:00"/>
    <n v="21.01"/>
    <n v="41620.810000000005"/>
    <s v="PrimarkJeans1981204996453464534721.01"/>
    <b v="0"/>
  </r>
  <r>
    <s v="ORD0169"/>
    <x v="4"/>
    <x v="3"/>
    <n v="2323"/>
    <n v="2340"/>
    <n v="131"/>
    <x v="140"/>
    <x v="6"/>
    <d v="2024-09-03T00:00:00"/>
    <n v="5.54"/>
    <n v="12869.42"/>
    <s v="PrimarkT-shirt2323234013145538455385.54"/>
    <b v="0"/>
  </r>
  <r>
    <s v="ORD0170"/>
    <x v="0"/>
    <x v="4"/>
    <n v="2990"/>
    <n v="2917"/>
    <n v="150"/>
    <x v="141"/>
    <x v="5"/>
    <d v="2024-08-16T00:00:00"/>
    <n v="11.79"/>
    <n v="35252.1"/>
    <s v="H&amp;MJacket29902917150455204552011.79"/>
    <b v="0"/>
  </r>
  <r>
    <s v="ORD0171"/>
    <x v="4"/>
    <x v="1"/>
    <n v="4175"/>
    <n v="3906"/>
    <n v="66"/>
    <x v="142"/>
    <x v="2"/>
    <d v="2024-03-25T00:00:00"/>
    <n v="9.86"/>
    <n v="41165.5"/>
    <s v="PrimarkHoodie417539066645369453769.86"/>
    <b v="0"/>
  </r>
  <r>
    <s v="ORD0172"/>
    <x v="4"/>
    <x v="4"/>
    <n v="3691"/>
    <n v="3768"/>
    <n v="291"/>
    <x v="143"/>
    <x v="10"/>
    <d v="2024-07-02T00:00:00"/>
    <n v="23.89"/>
    <n v="88177.99"/>
    <s v="PrimarkJacket36913768291454734547523.89"/>
    <b v="0"/>
  </r>
  <r>
    <s v="ORD0173"/>
    <x v="3"/>
    <x v="0"/>
    <n v="1322"/>
    <n v="1367"/>
    <n v="14"/>
    <x v="45"/>
    <x v="3"/>
    <d v="2024-06-01T00:00:00"/>
    <n v="6.71"/>
    <n v="8870.6200000000008"/>
    <s v="ZaraJeans132213671445442454446.71"/>
    <b v="0"/>
  </r>
  <r>
    <s v="ORD0174"/>
    <x v="0"/>
    <x v="3"/>
    <n v="4742"/>
    <n v="4355"/>
    <n v="310"/>
    <x v="86"/>
    <x v="2"/>
    <d v="2024-03-22T00:00:00"/>
    <n v="17.86"/>
    <n v="84692.12"/>
    <s v="H&amp;MT-shirt47424355310453734537317.86"/>
    <b v="0"/>
  </r>
  <r>
    <s v="ORD0175"/>
    <x v="2"/>
    <x v="2"/>
    <n v="2420"/>
    <n v="2474"/>
    <n v="83"/>
    <x v="144"/>
    <x v="10"/>
    <d v="2024-07-18T00:00:00"/>
    <n v="10.19"/>
    <n v="24659.8"/>
    <s v="GapShirt2420247483454864549110.19"/>
    <b v="0"/>
  </r>
  <r>
    <s v="ORD0176"/>
    <x v="4"/>
    <x v="3"/>
    <n v="3690"/>
    <n v="3469"/>
    <n v="186"/>
    <x v="145"/>
    <x v="5"/>
    <d v="2024-08-09T00:00:00"/>
    <n v="13.19"/>
    <n v="48671.1"/>
    <s v="PrimarkT-shirt36903469186455134551313.19"/>
    <b v="0"/>
  </r>
  <r>
    <s v="ORD0177"/>
    <x v="1"/>
    <x v="1"/>
    <n v="4077"/>
    <n v="4136"/>
    <n v="81"/>
    <x v="52"/>
    <x v="9"/>
    <d v="2024-04-29T00:00:00"/>
    <n v="22.37"/>
    <n v="91202.49"/>
    <s v="UniqloHoodie4077413681454114541122.37"/>
    <b v="0"/>
  </r>
  <r>
    <s v="ORD0178"/>
    <x v="1"/>
    <x v="1"/>
    <n v="4723"/>
    <n v="4379"/>
    <n v="192"/>
    <x v="146"/>
    <x v="7"/>
    <d v="2024-01-16T00:00:00"/>
    <n v="15.25"/>
    <n v="72025.75"/>
    <s v="UniqloHoodie47234379192453004530715.25"/>
    <b v="0"/>
  </r>
  <r>
    <s v="ORD0179"/>
    <x v="2"/>
    <x v="1"/>
    <n v="4533"/>
    <n v="4510"/>
    <n v="126"/>
    <x v="147"/>
    <x v="5"/>
    <d v="2024-08-25T00:00:00"/>
    <n v="7.79"/>
    <n v="35312.07"/>
    <s v="GapHoodie4533451012645526455297.79"/>
    <b v="0"/>
  </r>
  <r>
    <s v="ORD0180"/>
    <x v="4"/>
    <x v="1"/>
    <n v="2551"/>
    <n v="2346"/>
    <n v="171"/>
    <x v="148"/>
    <x v="1"/>
    <d v="2024-10-19T00:00:00"/>
    <n v="18.82"/>
    <n v="48009.82"/>
    <s v="PrimarkHoodie25512346171455844558418.82"/>
    <b v="0"/>
  </r>
  <r>
    <s v="ORD0181"/>
    <x v="3"/>
    <x v="3"/>
    <n v="2675"/>
    <n v="2454"/>
    <n v="123"/>
    <x v="149"/>
    <x v="7"/>
    <d v="2024-01-19T00:00:00"/>
    <n v="10.48"/>
    <n v="28034"/>
    <s v="ZaraT-shirt26752454123453084531010.48"/>
    <b v="0"/>
  </r>
  <r>
    <s v="ORD0182"/>
    <x v="2"/>
    <x v="1"/>
    <n v="2122"/>
    <n v="1943"/>
    <n v="38"/>
    <x v="131"/>
    <x v="1"/>
    <d v="2024-10-16T00:00:00"/>
    <n v="10.27"/>
    <n v="21792.94"/>
    <s v="GapHoodie2122194338455784558110.27"/>
    <b v="0"/>
  </r>
  <r>
    <s v="ORD0183"/>
    <x v="2"/>
    <x v="3"/>
    <n v="4763"/>
    <n v="4465"/>
    <n v="242"/>
    <x v="77"/>
    <x v="3"/>
    <d v="2024-06-21T00:00:00"/>
    <n v="14.89"/>
    <n v="70921.070000000007"/>
    <s v="GapT-shirt47634465242454644546414.89"/>
    <b v="0"/>
  </r>
  <r>
    <s v="ORD0184"/>
    <x v="0"/>
    <x v="2"/>
    <n v="3469"/>
    <n v="3332"/>
    <n v="213"/>
    <x v="150"/>
    <x v="0"/>
    <d v="2024-05-10T00:00:00"/>
    <n v="13.44"/>
    <n v="46623.360000000001"/>
    <s v="H&amp;MShirt34693332213454214542213.44"/>
    <b v="0"/>
  </r>
  <r>
    <s v="ORD0185"/>
    <x v="1"/>
    <x v="2"/>
    <n v="1886"/>
    <n v="1749"/>
    <n v="28"/>
    <x v="19"/>
    <x v="7"/>
    <d v="2024-01-31T00:00:00"/>
    <n v="20.420000000000002"/>
    <n v="38512.120000000003"/>
    <s v="UniqloShirt1886174928453204532220.42"/>
    <b v="0"/>
  </r>
  <r>
    <s v="ORD0186"/>
    <x v="2"/>
    <x v="0"/>
    <n v="4350"/>
    <n v="4103"/>
    <n v="143"/>
    <x v="151"/>
    <x v="1"/>
    <d v="2024-10-28T00:00:00"/>
    <n v="19.38"/>
    <n v="84303"/>
    <s v="GapJeans43504103143455864559319.38"/>
    <b v="0"/>
  </r>
  <r>
    <s v="ORD0187"/>
    <x v="2"/>
    <x v="1"/>
    <n v="1750"/>
    <n v="1824"/>
    <n v="68"/>
    <x v="70"/>
    <x v="2"/>
    <d v="2024-03-16T00:00:00"/>
    <n v="24.08"/>
    <n v="42140"/>
    <s v="GapHoodie1750182468453604536724.08"/>
    <b v="0"/>
  </r>
  <r>
    <s v="ORD0188"/>
    <x v="0"/>
    <x v="0"/>
    <n v="2285"/>
    <n v="2067"/>
    <n v="58"/>
    <x v="152"/>
    <x v="11"/>
    <d v="2024-12-05T00:00:00"/>
    <n v="16.899999999999999"/>
    <n v="38616.5"/>
    <s v="H&amp;MJeans2285206758456284563116.9"/>
    <b v="0"/>
  </r>
  <r>
    <s v="ORD0189"/>
    <x v="2"/>
    <x v="3"/>
    <n v="4960"/>
    <n v="4579"/>
    <n v="245"/>
    <x v="100"/>
    <x v="2"/>
    <d v="2024-03-13T00:00:00"/>
    <n v="14.48"/>
    <n v="71820.800000000003"/>
    <s v="GapT-shirt49604579245453644536414.48"/>
    <b v="0"/>
  </r>
  <r>
    <s v="ORD0190"/>
    <x v="1"/>
    <x v="1"/>
    <n v="2843"/>
    <n v="2869"/>
    <n v="128"/>
    <x v="153"/>
    <x v="8"/>
    <d v="2024-02-11T00:00:00"/>
    <n v="18.77"/>
    <n v="53363.11"/>
    <s v="UniqloHoodie28432869128453334533318.77"/>
    <b v="0"/>
  </r>
  <r>
    <s v="ORD0191"/>
    <x v="1"/>
    <x v="4"/>
    <n v="4726"/>
    <n v="4308"/>
    <n v="43"/>
    <x v="154"/>
    <x v="9"/>
    <d v="2024-04-11T00:00:00"/>
    <n v="24.35"/>
    <n v="115078.1"/>
    <s v="UniqloJacket4726430843453934539324.35"/>
    <b v="0"/>
  </r>
  <r>
    <s v="ORD0192"/>
    <x v="4"/>
    <x v="0"/>
    <n v="2822"/>
    <n v="2672"/>
    <n v="177"/>
    <x v="149"/>
    <x v="7"/>
    <d v="2024-01-17T00:00:00"/>
    <n v="24.24"/>
    <n v="68405.279999999999"/>
    <s v="PrimarkJeans28222672177453084530824.24"/>
    <b v="0"/>
  </r>
  <r>
    <s v="ORD0193"/>
    <x v="0"/>
    <x v="4"/>
    <n v="4140"/>
    <n v="4002"/>
    <n v="91"/>
    <x v="155"/>
    <x v="5"/>
    <d v="2024-08-03T00:00:00"/>
    <n v="15.84"/>
    <n v="65577.600000000006"/>
    <s v="H&amp;MJacket4140400291455074550715.84"/>
    <b v="0"/>
  </r>
  <r>
    <s v="ORD0194"/>
    <x v="1"/>
    <x v="0"/>
    <n v="4562"/>
    <n v="4657"/>
    <n v="261"/>
    <x v="28"/>
    <x v="10"/>
    <d v="2024-07-23T00:00:00"/>
    <n v="18.850000000000001"/>
    <n v="85993.700000000012"/>
    <s v="UniqloJeans45624657261454894549618.85"/>
    <b v="0"/>
  </r>
  <r>
    <s v="ORD0195"/>
    <x v="3"/>
    <x v="4"/>
    <n v="4226"/>
    <n v="4242"/>
    <n v="57"/>
    <x v="123"/>
    <x v="1"/>
    <d v="2024-10-14T00:00:00"/>
    <n v="18.399999999999999"/>
    <n v="77758.399999999994"/>
    <s v="ZaraJacket4226424257455794557918.4"/>
    <b v="0"/>
  </r>
  <r>
    <s v="ORD0196"/>
    <x v="1"/>
    <x v="1"/>
    <n v="900"/>
    <n v="834"/>
    <n v="41"/>
    <x v="156"/>
    <x v="1"/>
    <d v="2024-10-01T00:00:00"/>
    <n v="23.31"/>
    <n v="20979"/>
    <s v="UniqloHoodie90083441455614556623.31"/>
    <b v="0"/>
  </r>
  <r>
    <s v="ORD0197"/>
    <x v="1"/>
    <x v="1"/>
    <n v="1128"/>
    <n v="1138"/>
    <n v="26"/>
    <x v="24"/>
    <x v="4"/>
    <d v="2024-11-15T00:00:00"/>
    <n v="7.31"/>
    <n v="8245.68"/>
    <s v="UniqloHoodie112811382645606456117.31"/>
    <b v="0"/>
  </r>
  <r>
    <s v="ORD0198"/>
    <x v="2"/>
    <x v="4"/>
    <n v="2000"/>
    <n v="1942"/>
    <n v="136"/>
    <x v="157"/>
    <x v="9"/>
    <d v="2024-04-12T00:00:00"/>
    <n v="21.89"/>
    <n v="43780"/>
    <s v="GapJacket20001942136453944539421.89"/>
    <b v="0"/>
  </r>
  <r>
    <s v="ORD0199"/>
    <x v="4"/>
    <x v="3"/>
    <n v="1682"/>
    <n v="1605"/>
    <n v="79"/>
    <x v="1"/>
    <x v="0"/>
    <d v="2024-05-12T00:00:00"/>
    <n v="14.62"/>
    <n v="24590.84"/>
    <s v="PrimarkT-shirt1682160579454224542414.62"/>
    <b v="0"/>
  </r>
  <r>
    <s v="ORD0200"/>
    <x v="3"/>
    <x v="3"/>
    <n v="3483"/>
    <n v="3365"/>
    <n v="128"/>
    <x v="60"/>
    <x v="7"/>
    <d v="2024-01-06T00:00:00"/>
    <n v="16.45"/>
    <n v="57295.35"/>
    <s v="ZaraT-shirt34833365128452954529716.45"/>
    <b v="0"/>
  </r>
  <r>
    <s v="ORD0201"/>
    <x v="3"/>
    <x v="1"/>
    <n v="1420"/>
    <n v="1435"/>
    <n v="66"/>
    <x v="158"/>
    <x v="9"/>
    <d v="2024-04-20T00:00:00"/>
    <n v="13.54"/>
    <n v="19226.8"/>
    <s v="ZaraHoodie1420143566453994540213.54"/>
    <b v="0"/>
  </r>
  <r>
    <s v="ORD0202"/>
    <x v="2"/>
    <x v="0"/>
    <n v="4021"/>
    <n v="3633"/>
    <n v="257"/>
    <x v="140"/>
    <x v="6"/>
    <d v="2024-09-05T00:00:00"/>
    <n v="5.43"/>
    <n v="21834.03"/>
    <s v="GapJeans4021363325745538455405.43"/>
    <b v="0"/>
  </r>
  <r>
    <s v="ORD0203"/>
    <x v="4"/>
    <x v="0"/>
    <n v="3712"/>
    <n v="3554"/>
    <n v="267"/>
    <x v="42"/>
    <x v="1"/>
    <d v="2024-10-29T00:00:00"/>
    <n v="6.4"/>
    <n v="23756.800000000003"/>
    <s v="PrimarkJeans3712355426745593455946.4"/>
    <b v="0"/>
  </r>
  <r>
    <s v="ORD0204"/>
    <x v="3"/>
    <x v="2"/>
    <n v="4624"/>
    <n v="4693"/>
    <n v="178"/>
    <x v="159"/>
    <x v="10"/>
    <d v="2024-07-10T00:00:00"/>
    <n v="14.6"/>
    <n v="67510.399999999994"/>
    <s v="ZaraShirt46244693178454764548314.6"/>
    <b v="0"/>
  </r>
  <r>
    <s v="ORD0205"/>
    <x v="4"/>
    <x v="1"/>
    <n v="4011"/>
    <n v="3773"/>
    <n v="142"/>
    <x v="23"/>
    <x v="11"/>
    <d v="2024-12-25T00:00:00"/>
    <n v="6.83"/>
    <n v="27395.13"/>
    <s v="PrimarkHoodie4011377314245650456516.83"/>
    <b v="0"/>
  </r>
  <r>
    <s v="ORD0206"/>
    <x v="4"/>
    <x v="1"/>
    <n v="4984"/>
    <n v="5033"/>
    <n v="51"/>
    <x v="160"/>
    <x v="3"/>
    <d v="2024-06-06T00:00:00"/>
    <n v="14.35"/>
    <n v="71520.399999999994"/>
    <s v="PrimarkHoodie4984503351454494544914.35"/>
    <b v="0"/>
  </r>
  <r>
    <s v="ORD0207"/>
    <x v="4"/>
    <x v="4"/>
    <n v="645"/>
    <n v="603"/>
    <n v="7"/>
    <x v="100"/>
    <x v="2"/>
    <d v="2024-03-18T00:00:00"/>
    <n v="5.36"/>
    <n v="3457.2000000000003"/>
    <s v="PrimarkJacket645603745364453695.36"/>
    <b v="0"/>
  </r>
  <r>
    <s v="ORD0208"/>
    <x v="4"/>
    <x v="0"/>
    <n v="1463"/>
    <n v="1364"/>
    <n v="104"/>
    <x v="28"/>
    <x v="10"/>
    <d v="2024-07-21T00:00:00"/>
    <n v="20.73"/>
    <n v="30327.99"/>
    <s v="PrimarkJeans14631364104454894549420.73"/>
    <b v="0"/>
  </r>
  <r>
    <s v="ORD0209"/>
    <x v="0"/>
    <x v="4"/>
    <n v="1963"/>
    <n v="2027"/>
    <n v="105"/>
    <x v="161"/>
    <x v="5"/>
    <d v="2024-08-13T00:00:00"/>
    <n v="23.07"/>
    <n v="45286.41"/>
    <s v="H&amp;MJacket19632027105455174551723.07"/>
    <b v="0"/>
  </r>
  <r>
    <s v="ORD0210"/>
    <x v="2"/>
    <x v="4"/>
    <n v="1384"/>
    <n v="1418"/>
    <n v="26"/>
    <x v="94"/>
    <x v="4"/>
    <d v="2024-11-08T00:00:00"/>
    <n v="5.94"/>
    <n v="8220.9600000000009"/>
    <s v="GapJacket138414182645604456045.94"/>
    <b v="0"/>
  </r>
  <r>
    <s v="ORD0211"/>
    <x v="3"/>
    <x v="1"/>
    <n v="1436"/>
    <n v="1332"/>
    <n v="86"/>
    <x v="117"/>
    <x v="6"/>
    <d v="2024-09-20T00:00:00"/>
    <n v="12"/>
    <n v="17232"/>
    <s v="ZaraHoodie1436133286455524555512"/>
    <b v="0"/>
  </r>
  <r>
    <s v="ORD0212"/>
    <x v="1"/>
    <x v="3"/>
    <n v="1226"/>
    <n v="1265"/>
    <n v="94"/>
    <x v="162"/>
    <x v="2"/>
    <d v="2024-03-01T00:00:00"/>
    <n v="24.9"/>
    <n v="30527.399999999998"/>
    <s v="UniqloT-shirt1226126594453524535224.9"/>
    <b v="0"/>
  </r>
  <r>
    <s v="ORD0213"/>
    <x v="4"/>
    <x v="2"/>
    <n v="2966"/>
    <n v="3006"/>
    <n v="176"/>
    <x v="61"/>
    <x v="3"/>
    <d v="2024-06-08T00:00:00"/>
    <n v="8.08"/>
    <n v="23965.279999999999"/>
    <s v="PrimarkShirt2966300617645451454518.08"/>
    <b v="0"/>
  </r>
  <r>
    <s v="ORD0214"/>
    <x v="2"/>
    <x v="4"/>
    <n v="4569"/>
    <n v="4539"/>
    <n v="283"/>
    <x v="163"/>
    <x v="2"/>
    <d v="2024-03-11T00:00:00"/>
    <n v="5.7"/>
    <n v="26043.3"/>
    <s v="GapJacket4569453928345359453625.7"/>
    <b v="0"/>
  </r>
  <r>
    <s v="ORD0215"/>
    <x v="3"/>
    <x v="4"/>
    <n v="1880"/>
    <n v="1717"/>
    <n v="122"/>
    <x v="19"/>
    <x v="7"/>
    <d v="2024-01-29T00:00:00"/>
    <n v="10.31"/>
    <n v="19382.8"/>
    <s v="ZaraJacket18801717122453204532010.31"/>
    <b v="0"/>
  </r>
  <r>
    <s v="ORD0216"/>
    <x v="2"/>
    <x v="3"/>
    <n v="1718"/>
    <n v="1792"/>
    <n v="126"/>
    <x v="164"/>
    <x v="8"/>
    <d v="2024-02-09T00:00:00"/>
    <n v="21.19"/>
    <n v="36404.420000000006"/>
    <s v="GapT-shirt17181792126453314533121.19"/>
    <b v="0"/>
  </r>
  <r>
    <s v="ORD0217"/>
    <x v="4"/>
    <x v="4"/>
    <n v="1918"/>
    <n v="1751"/>
    <n v="67"/>
    <x v="165"/>
    <x v="4"/>
    <d v="2024-11-23T00:00:00"/>
    <n v="12.45"/>
    <n v="23879.1"/>
    <s v="PrimarkJacket1918175167456194561912.45"/>
    <b v="0"/>
  </r>
  <r>
    <s v="ORD0218"/>
    <x v="1"/>
    <x v="4"/>
    <n v="4472"/>
    <n v="4057"/>
    <n v="191"/>
    <x v="166"/>
    <x v="3"/>
    <d v="2024-06-26T00:00:00"/>
    <n v="24.24"/>
    <n v="108401.28"/>
    <s v="UniqloJacket44724057191454674546924.24"/>
    <b v="0"/>
  </r>
  <r>
    <s v="ORD0219"/>
    <x v="2"/>
    <x v="3"/>
    <n v="1295"/>
    <n v="1180"/>
    <n v="82"/>
    <x v="27"/>
    <x v="5"/>
    <d v="2024-08-14T00:00:00"/>
    <n v="14.9"/>
    <n v="19295.5"/>
    <s v="GapT-shirt1295118082455154551814.9"/>
    <b v="0"/>
  </r>
  <r>
    <s v="ORD0220"/>
    <x v="4"/>
    <x v="3"/>
    <n v="2896"/>
    <n v="3000"/>
    <n v="149"/>
    <x v="164"/>
    <x v="8"/>
    <d v="2024-02-09T00:00:00"/>
    <n v="18.239999999999998"/>
    <n v="52823.039999999994"/>
    <s v="PrimarkT-shirt28963000149453314533118.24"/>
    <b v="0"/>
  </r>
  <r>
    <s v="ORD0221"/>
    <x v="0"/>
    <x v="2"/>
    <n v="2496"/>
    <n v="2346"/>
    <n v="167"/>
    <x v="167"/>
    <x v="3"/>
    <d v="2024-06-17T00:00:00"/>
    <n v="20.95"/>
    <n v="52291.199999999997"/>
    <s v="H&amp;MShirt24962346167454594546020.95"/>
    <b v="0"/>
  </r>
  <r>
    <s v="ORD0222"/>
    <x v="2"/>
    <x v="4"/>
    <n v="2204"/>
    <n v="2094"/>
    <n v="55"/>
    <x v="168"/>
    <x v="11"/>
    <d v="2024-12-26T00:00:00"/>
    <n v="23.6"/>
    <n v="52014.400000000001"/>
    <s v="GapJacket2204209455456474565223.6"/>
    <b v="0"/>
  </r>
  <r>
    <s v="ORD0223"/>
    <x v="0"/>
    <x v="0"/>
    <n v="4238"/>
    <n v="4292"/>
    <n v="90"/>
    <x v="64"/>
    <x v="4"/>
    <d v="2024-11-09T00:00:00"/>
    <n v="22.62"/>
    <n v="95863.56"/>
    <s v="H&amp;MJeans4238429290456054560522.62"/>
    <b v="0"/>
  </r>
  <r>
    <s v="ORD0224"/>
    <x v="4"/>
    <x v="2"/>
    <n v="3219"/>
    <n v="3058"/>
    <n v="189"/>
    <x v="168"/>
    <x v="11"/>
    <d v="2024-12-21T00:00:00"/>
    <n v="8.2200000000000006"/>
    <n v="26460.18"/>
    <s v="PrimarkShirt3219305818945647456478.22"/>
    <b v="0"/>
  </r>
  <r>
    <s v="ORD0225"/>
    <x v="0"/>
    <x v="4"/>
    <n v="1088"/>
    <n v="1062"/>
    <n v="11"/>
    <x v="41"/>
    <x v="8"/>
    <d v="2024-02-15T00:00:00"/>
    <n v="10.74"/>
    <n v="11685.12"/>
    <s v="H&amp;MJacket1088106211453374533710.74"/>
    <b v="0"/>
  </r>
  <r>
    <s v="ORD0226"/>
    <x v="2"/>
    <x v="3"/>
    <n v="1636"/>
    <n v="1609"/>
    <n v="29"/>
    <x v="169"/>
    <x v="11"/>
    <d v="2024-12-11T00:00:00"/>
    <n v="12.53"/>
    <n v="20499.079999999998"/>
    <s v="GapT-shirt1636160929456354563712.53"/>
    <b v="0"/>
  </r>
  <r>
    <s v="ORD0227"/>
    <x v="0"/>
    <x v="0"/>
    <n v="1507"/>
    <n v="1380"/>
    <n v="87"/>
    <x v="27"/>
    <x v="5"/>
    <d v="2024-08-11T00:00:00"/>
    <n v="15.83"/>
    <n v="23855.81"/>
    <s v="H&amp;MJeans1507138087455154551515.83"/>
    <b v="0"/>
  </r>
  <r>
    <s v="ORD0228"/>
    <x v="0"/>
    <x v="2"/>
    <n v="4402"/>
    <n v="4220"/>
    <n v="95"/>
    <x v="170"/>
    <x v="1"/>
    <d v="2024-10-05T00:00:00"/>
    <n v="20.07"/>
    <n v="88348.14"/>
    <s v="H&amp;MShirt4402422095455694557020.07"/>
    <b v="0"/>
  </r>
  <r>
    <s v="ORD0229"/>
    <x v="3"/>
    <x v="2"/>
    <n v="2387"/>
    <n v="2424"/>
    <n v="184"/>
    <x v="82"/>
    <x v="7"/>
    <d v="2024-01-15T00:00:00"/>
    <n v="8.33"/>
    <n v="19883.71"/>
    <s v="ZaraShirt2387242418445303453068.33"/>
    <b v="0"/>
  </r>
  <r>
    <s v="ORD0230"/>
    <x v="3"/>
    <x v="3"/>
    <n v="1385"/>
    <n v="1318"/>
    <n v="70"/>
    <x v="93"/>
    <x v="4"/>
    <d v="2024-11-04T00:00:00"/>
    <n v="5.91"/>
    <n v="8185.35"/>
    <s v="ZaraT-shirt138513187045597456005.91"/>
    <b v="0"/>
  </r>
  <r>
    <s v="ORD0231"/>
    <x v="1"/>
    <x v="0"/>
    <n v="1186"/>
    <n v="1239"/>
    <n v="77"/>
    <x v="171"/>
    <x v="7"/>
    <d v="2024-01-09T00:00:00"/>
    <n v="7.6"/>
    <n v="9013.6"/>
    <s v="UniqloJeans118612397745298453007.6"/>
    <b v="0"/>
  </r>
  <r>
    <s v="ORD0232"/>
    <x v="4"/>
    <x v="1"/>
    <n v="1406"/>
    <n v="1438"/>
    <n v="51"/>
    <x v="44"/>
    <x v="2"/>
    <d v="2024-03-03T00:00:00"/>
    <n v="21.38"/>
    <n v="30060.28"/>
    <s v="PrimarkHoodie1406143851453494535421.38"/>
    <b v="0"/>
  </r>
  <r>
    <s v="ORD0233"/>
    <x v="0"/>
    <x v="4"/>
    <n v="4109"/>
    <n v="3796"/>
    <n v="162"/>
    <x v="16"/>
    <x v="9"/>
    <d v="2024-04-10T00:00:00"/>
    <n v="23.89"/>
    <n v="98164.010000000009"/>
    <s v="H&amp;MJacket41093796162453904539223.89"/>
    <b v="0"/>
  </r>
  <r>
    <s v="ORD0234"/>
    <x v="4"/>
    <x v="2"/>
    <n v="538"/>
    <n v="526"/>
    <n v="35"/>
    <x v="123"/>
    <x v="1"/>
    <d v="2024-10-14T00:00:00"/>
    <n v="10.97"/>
    <n v="5901.8600000000006"/>
    <s v="PrimarkShirt53852635455794557910.97"/>
    <b v="0"/>
  </r>
  <r>
    <s v="ORD0235"/>
    <x v="0"/>
    <x v="2"/>
    <n v="3655"/>
    <n v="3648"/>
    <n v="106"/>
    <x v="108"/>
    <x v="5"/>
    <d v="2024-08-30T00:00:00"/>
    <n v="24.02"/>
    <n v="87793.099999999991"/>
    <s v="H&amp;MShirt36553648106455274553424.02"/>
    <b v="0"/>
  </r>
  <r>
    <s v="ORD0236"/>
    <x v="2"/>
    <x v="2"/>
    <n v="1488"/>
    <n v="1549"/>
    <n v="61"/>
    <x v="51"/>
    <x v="6"/>
    <d v="2024-09-18T00:00:00"/>
    <n v="17.77"/>
    <n v="26441.759999999998"/>
    <s v="GapShirt1488154961455534555317.77"/>
    <b v="0"/>
  </r>
  <r>
    <s v="ORD0237"/>
    <x v="1"/>
    <x v="4"/>
    <n v="4463"/>
    <n v="4501"/>
    <n v="280"/>
    <x v="99"/>
    <x v="1"/>
    <d v="2024-10-14T00:00:00"/>
    <n v="9.01"/>
    <n v="40211.629999999997"/>
    <s v="UniqloJacket4463450128045572455799.01"/>
    <b v="0"/>
  </r>
  <r>
    <s v="ORD0238"/>
    <x v="2"/>
    <x v="1"/>
    <n v="2309"/>
    <n v="2377"/>
    <n v="102"/>
    <x v="172"/>
    <x v="0"/>
    <d v="2024-05-26T00:00:00"/>
    <n v="24.36"/>
    <n v="56247.24"/>
    <s v="GapHoodie23092377102454364543824.36"/>
    <b v="0"/>
  </r>
  <r>
    <s v="ORD0239"/>
    <x v="3"/>
    <x v="2"/>
    <n v="3880"/>
    <n v="3581"/>
    <n v="149"/>
    <x v="173"/>
    <x v="10"/>
    <d v="2024-07-17T00:00:00"/>
    <n v="15.61"/>
    <n v="60566.799999999996"/>
    <s v="ZaraShirt38803581149454904549015.61"/>
    <b v="0"/>
  </r>
  <r>
    <s v="ORD0240"/>
    <x v="1"/>
    <x v="1"/>
    <n v="4944"/>
    <n v="4546"/>
    <n v="55"/>
    <x v="41"/>
    <x v="8"/>
    <d v="2024-02-20T00:00:00"/>
    <n v="23.42"/>
    <n v="115788.48000000001"/>
    <s v="UniqloHoodie4944454655453374534223.42"/>
    <b v="0"/>
  </r>
  <r>
    <s v="ORD0241"/>
    <x v="4"/>
    <x v="4"/>
    <n v="3724"/>
    <n v="3352"/>
    <n v="173"/>
    <x v="174"/>
    <x v="11"/>
    <d v="2024-12-06T00:00:00"/>
    <n v="17.149999999999999"/>
    <n v="63866.599999999991"/>
    <s v="PrimarkJacket37243352173456314563217.15"/>
    <b v="0"/>
  </r>
  <r>
    <s v="ORD0242"/>
    <x v="3"/>
    <x v="3"/>
    <n v="1020"/>
    <n v="948"/>
    <n v="42"/>
    <x v="175"/>
    <x v="9"/>
    <d v="2024-04-26T00:00:00"/>
    <n v="6.28"/>
    <n v="6405.6"/>
    <s v="ZaraT-shirt10209484245408454086.28"/>
    <b v="0"/>
  </r>
  <r>
    <s v="ORD0243"/>
    <x v="0"/>
    <x v="0"/>
    <n v="1083"/>
    <n v="1025"/>
    <n v="42"/>
    <x v="104"/>
    <x v="1"/>
    <d v="2024-10-03T00:00:00"/>
    <n v="5.23"/>
    <n v="5664.09"/>
    <s v="H&amp;MJeans108310254245565455685.23"/>
    <b v="0"/>
  </r>
  <r>
    <s v="ORD0244"/>
    <x v="4"/>
    <x v="2"/>
    <n v="4933"/>
    <n v="4794"/>
    <n v="249"/>
    <x v="176"/>
    <x v="1"/>
    <d v="2024-10-27T00:00:00"/>
    <n v="10.83"/>
    <n v="53424.39"/>
    <s v="PrimarkShirt49334794249455924559210.83"/>
    <b v="0"/>
  </r>
  <r>
    <s v="ORD0245"/>
    <x v="0"/>
    <x v="1"/>
    <n v="2543"/>
    <n v="2586"/>
    <n v="33"/>
    <x v="177"/>
    <x v="2"/>
    <d v="2024-03-28T00:00:00"/>
    <n v="14.61"/>
    <n v="37153.229999999996"/>
    <s v="H&amp;MHoodie2543258633453794537914.61"/>
    <b v="0"/>
  </r>
  <r>
    <s v="ORD0246"/>
    <x v="0"/>
    <x v="2"/>
    <n v="2948"/>
    <n v="2698"/>
    <n v="134"/>
    <x v="178"/>
    <x v="4"/>
    <d v="2024-11-08T00:00:00"/>
    <n v="5.37"/>
    <n v="15830.76"/>
    <s v="H&amp;MShirt2948269813445601456045.37"/>
    <b v="0"/>
  </r>
  <r>
    <s v="ORD0247"/>
    <x v="0"/>
    <x v="4"/>
    <n v="3220"/>
    <n v="3168"/>
    <n v="33"/>
    <x v="8"/>
    <x v="7"/>
    <d v="2024-01-02T00:00:00"/>
    <n v="11.53"/>
    <n v="37126.6"/>
    <s v="H&amp;MJacket3220316833452934529311.53"/>
    <b v="0"/>
  </r>
  <r>
    <s v="ORD0248"/>
    <x v="3"/>
    <x v="0"/>
    <n v="3348"/>
    <n v="3456"/>
    <n v="54"/>
    <x v="179"/>
    <x v="3"/>
    <d v="2024-06-05T00:00:00"/>
    <n v="21.49"/>
    <n v="71948.51999999999"/>
    <s v="ZaraJeans3348345654454454544821.49"/>
    <b v="0"/>
  </r>
  <r>
    <s v="ORD0249"/>
    <x v="0"/>
    <x v="4"/>
    <n v="3674"/>
    <n v="3379"/>
    <n v="168"/>
    <x v="180"/>
    <x v="0"/>
    <d v="2024-05-22T00:00:00"/>
    <n v="18.79"/>
    <n v="69034.459999999992"/>
    <s v="H&amp;MJacket36743379168454344543418.79"/>
    <b v="0"/>
  </r>
  <r>
    <s v="ORD0250"/>
    <x v="2"/>
    <x v="1"/>
    <n v="605"/>
    <n v="559"/>
    <n v="9"/>
    <x v="181"/>
    <x v="0"/>
    <d v="2024-05-05T00:00:00"/>
    <n v="17.73"/>
    <n v="10726.65"/>
    <s v="GapHoodie6055599454144541717.73"/>
    <b v="0"/>
  </r>
  <r>
    <s v="ORD0251"/>
    <x v="2"/>
    <x v="0"/>
    <n v="2556"/>
    <n v="2659"/>
    <n v="36"/>
    <x v="57"/>
    <x v="10"/>
    <d v="2024-07-29T00:00:00"/>
    <n v="15.83"/>
    <n v="40461.480000000003"/>
    <s v="GapJeans2556265936454954550215.83"/>
    <b v="0"/>
  </r>
  <r>
    <s v="ORD0252"/>
    <x v="4"/>
    <x v="4"/>
    <n v="4411"/>
    <n v="4442"/>
    <n v="293"/>
    <x v="182"/>
    <x v="6"/>
    <d v="2024-09-12T00:00:00"/>
    <n v="11.79"/>
    <n v="52005.689999999995"/>
    <s v="PrimarkJacket44114442293455424554711.79"/>
    <b v="0"/>
  </r>
  <r>
    <s v="ORD0253"/>
    <x v="1"/>
    <x v="4"/>
    <n v="2554"/>
    <n v="2551"/>
    <n v="124"/>
    <x v="38"/>
    <x v="7"/>
    <d v="2024-01-22T00:00:00"/>
    <n v="16.95"/>
    <n v="43290.299999999996"/>
    <s v="UniqloJacket25542551124453134531316.95"/>
    <b v="0"/>
  </r>
  <r>
    <s v="ORD0254"/>
    <x v="0"/>
    <x v="0"/>
    <n v="1394"/>
    <n v="1389"/>
    <n v="65"/>
    <x v="82"/>
    <x v="7"/>
    <d v="2024-01-17T00:00:00"/>
    <n v="19.63"/>
    <n v="27364.219999999998"/>
    <s v="H&amp;MJeans1394138965453034530819.63"/>
    <b v="0"/>
  </r>
  <r>
    <s v="ORD0255"/>
    <x v="2"/>
    <x v="0"/>
    <n v="4095"/>
    <n v="3783"/>
    <n v="268"/>
    <x v="139"/>
    <x v="8"/>
    <d v="2024-02-27T00:00:00"/>
    <n v="9.3800000000000008"/>
    <n v="38411.100000000006"/>
    <s v="GapJeans4095378326845346453499.38"/>
    <b v="0"/>
  </r>
  <r>
    <s v="ORD0256"/>
    <x v="2"/>
    <x v="2"/>
    <n v="3927"/>
    <n v="3972"/>
    <n v="282"/>
    <x v="123"/>
    <x v="1"/>
    <d v="2024-10-14T00:00:00"/>
    <n v="13.67"/>
    <n v="53682.09"/>
    <s v="GapShirt39273972282455794557913.67"/>
    <b v="0"/>
  </r>
  <r>
    <s v="ORD0257"/>
    <x v="2"/>
    <x v="1"/>
    <n v="4165"/>
    <n v="3761"/>
    <n v="209"/>
    <x v="79"/>
    <x v="4"/>
    <d v="2024-11-07T00:00:00"/>
    <n v="11.65"/>
    <n v="48522.25"/>
    <s v="GapHoodie41653761209456034560311.65"/>
    <b v="0"/>
  </r>
  <r>
    <s v="ORD0258"/>
    <x v="1"/>
    <x v="2"/>
    <n v="1582"/>
    <n v="1578"/>
    <n v="37"/>
    <x v="63"/>
    <x v="9"/>
    <d v="2024-04-05T00:00:00"/>
    <n v="18.600000000000001"/>
    <n v="29425.200000000001"/>
    <s v="UniqloShirt1582157837453844538718.6"/>
    <b v="0"/>
  </r>
  <r>
    <s v="ORD0259"/>
    <x v="2"/>
    <x v="4"/>
    <n v="852"/>
    <n v="874"/>
    <n v="19"/>
    <x v="183"/>
    <x v="7"/>
    <d v="2024-01-25T00:00:00"/>
    <n v="24.22"/>
    <n v="20635.439999999999"/>
    <s v="GapJacket85287419453154531624.22"/>
    <b v="0"/>
  </r>
  <r>
    <s v="ORD0260"/>
    <x v="1"/>
    <x v="1"/>
    <n v="3279"/>
    <n v="3133"/>
    <n v="247"/>
    <x v="87"/>
    <x v="3"/>
    <d v="2024-06-25T00:00:00"/>
    <n v="5.8"/>
    <n v="19018.2"/>
    <s v="UniqloHoodie3279313324745468454685.8"/>
    <b v="0"/>
  </r>
  <r>
    <s v="ORD0261"/>
    <x v="3"/>
    <x v="3"/>
    <n v="1773"/>
    <n v="1788"/>
    <n v="78"/>
    <x v="51"/>
    <x v="6"/>
    <d v="2024-09-23T00:00:00"/>
    <n v="22.47"/>
    <n v="39839.31"/>
    <s v="ZaraT-shirt1773178878455534555822.47"/>
    <b v="0"/>
  </r>
  <r>
    <s v="ORD0262"/>
    <x v="1"/>
    <x v="2"/>
    <n v="4509"/>
    <n v="4729"/>
    <n v="141"/>
    <x v="1"/>
    <x v="0"/>
    <d v="2024-05-12T00:00:00"/>
    <n v="12.18"/>
    <n v="54919.619999999995"/>
    <s v="UniqloShirt45094729141454224542412.18"/>
    <b v="0"/>
  </r>
  <r>
    <s v="ORD0263"/>
    <x v="2"/>
    <x v="2"/>
    <n v="1029"/>
    <n v="1023"/>
    <n v="62"/>
    <x v="83"/>
    <x v="7"/>
    <d v="2024-01-09T00:00:00"/>
    <n v="7.63"/>
    <n v="7851.2699999999995"/>
    <s v="GapShirt102910236245299453007.63"/>
    <b v="0"/>
  </r>
  <r>
    <s v="ORD0264"/>
    <x v="3"/>
    <x v="3"/>
    <n v="3869"/>
    <n v="3619"/>
    <n v="282"/>
    <x v="184"/>
    <x v="4"/>
    <d v="2024-11-23T00:00:00"/>
    <n v="8.6199999999999992"/>
    <n v="33350.78"/>
    <s v="ZaraT-shirt3869361928245616456198.62"/>
    <b v="0"/>
  </r>
  <r>
    <s v="ORD0265"/>
    <x v="4"/>
    <x v="0"/>
    <n v="3552"/>
    <n v="3429"/>
    <n v="57"/>
    <x v="103"/>
    <x v="7"/>
    <d v="2024-01-21T00:00:00"/>
    <n v="13.1"/>
    <n v="46531.199999999997"/>
    <s v="PrimarkJeans3552342957453054531213.1"/>
    <b v="0"/>
  </r>
  <r>
    <s v="ORD0266"/>
    <x v="3"/>
    <x v="0"/>
    <n v="2778"/>
    <n v="2649"/>
    <n v="136"/>
    <x v="185"/>
    <x v="11"/>
    <d v="2024-12-10T00:00:00"/>
    <n v="8.27"/>
    <n v="22974.059999999998"/>
    <s v="ZaraJeans2778264913645636456368.27"/>
    <b v="0"/>
  </r>
  <r>
    <s v="ORD0267"/>
    <x v="4"/>
    <x v="4"/>
    <n v="527"/>
    <n v="494"/>
    <n v="27"/>
    <x v="186"/>
    <x v="3"/>
    <d v="2024-06-14T00:00:00"/>
    <n v="11.5"/>
    <n v="6060.5"/>
    <s v="PrimarkJacket52749427454554545711.5"/>
    <b v="0"/>
  </r>
  <r>
    <s v="ORD0268"/>
    <x v="4"/>
    <x v="4"/>
    <n v="3874"/>
    <n v="3622"/>
    <n v="260"/>
    <x v="187"/>
    <x v="2"/>
    <d v="2024-03-20T00:00:00"/>
    <n v="13.84"/>
    <n v="53616.159999999996"/>
    <s v="PrimarkJacket38743622260453714537113.84"/>
    <b v="0"/>
  </r>
  <r>
    <s v="ORD0269"/>
    <x v="3"/>
    <x v="0"/>
    <n v="3391"/>
    <n v="3473"/>
    <n v="139"/>
    <x v="188"/>
    <x v="3"/>
    <d v="2024-06-20T00:00:00"/>
    <n v="9.9700000000000006"/>
    <n v="33808.270000000004"/>
    <s v="ZaraJeans3391347313945462454639.97"/>
    <b v="0"/>
  </r>
  <r>
    <s v="ORD0270"/>
    <x v="0"/>
    <x v="0"/>
    <n v="2860"/>
    <n v="2645"/>
    <n v="57"/>
    <x v="4"/>
    <x v="3"/>
    <d v="2024-06-25T00:00:00"/>
    <n v="5.73"/>
    <n v="16387.800000000003"/>
    <s v="H&amp;MJeans286026455745466454685.73"/>
    <b v="0"/>
  </r>
  <r>
    <s v="ORD0271"/>
    <x v="1"/>
    <x v="3"/>
    <n v="2712"/>
    <n v="2758"/>
    <n v="163"/>
    <x v="17"/>
    <x v="10"/>
    <d v="2024-07-28T00:00:00"/>
    <n v="13.93"/>
    <n v="37778.159999999996"/>
    <s v="UniqloT-shirt27122758163454984550113.93"/>
    <b v="0"/>
  </r>
  <r>
    <s v="ORD0272"/>
    <x v="1"/>
    <x v="0"/>
    <n v="1119"/>
    <n v="1097"/>
    <n v="13"/>
    <x v="148"/>
    <x v="1"/>
    <d v="2024-10-20T00:00:00"/>
    <n v="24.73"/>
    <n v="27672.87"/>
    <s v="UniqloJeans1119109713455844558524.73"/>
    <b v="0"/>
  </r>
  <r>
    <s v="ORD0273"/>
    <x v="0"/>
    <x v="3"/>
    <n v="781"/>
    <n v="707"/>
    <n v="13"/>
    <x v="189"/>
    <x v="6"/>
    <d v="2024-09-01T00:00:00"/>
    <n v="14.04"/>
    <n v="10965.24"/>
    <s v="H&amp;MT-shirt78170713455364553614.04"/>
    <b v="0"/>
  </r>
  <r>
    <s v="ORD0274"/>
    <x v="0"/>
    <x v="4"/>
    <n v="1508"/>
    <n v="1489"/>
    <n v="86"/>
    <x v="6"/>
    <x v="6"/>
    <d v="2024-09-05T00:00:00"/>
    <n v="12.95"/>
    <n v="19528.599999999999"/>
    <s v="H&amp;MJacket1508148986455334554012.95"/>
    <b v="0"/>
  </r>
  <r>
    <s v="ORD0275"/>
    <x v="3"/>
    <x v="3"/>
    <n v="625"/>
    <n v="651"/>
    <n v="35"/>
    <x v="71"/>
    <x v="5"/>
    <d v="2024-08-17T00:00:00"/>
    <n v="22.36"/>
    <n v="13975"/>
    <s v="ZaraT-shirt62565135455144552122.36"/>
    <b v="0"/>
  </r>
  <r>
    <s v="ORD0276"/>
    <x v="1"/>
    <x v="2"/>
    <n v="3749"/>
    <n v="3566"/>
    <n v="168"/>
    <x v="190"/>
    <x v="0"/>
    <d v="2024-05-07T00:00:00"/>
    <n v="7.51"/>
    <n v="28154.989999999998"/>
    <s v="UniqloShirt3749356616845417454197.51"/>
    <b v="0"/>
  </r>
  <r>
    <s v="ORD0277"/>
    <x v="2"/>
    <x v="1"/>
    <n v="4903"/>
    <n v="4930"/>
    <n v="118"/>
    <x v="191"/>
    <x v="11"/>
    <d v="2024-12-06T00:00:00"/>
    <n v="18.47"/>
    <n v="90558.409999999989"/>
    <s v="GapHoodie49034930118456324563218.47"/>
    <b v="0"/>
  </r>
  <r>
    <s v="ORD0278"/>
    <x v="2"/>
    <x v="0"/>
    <n v="1514"/>
    <n v="1515"/>
    <n v="62"/>
    <x v="192"/>
    <x v="2"/>
    <d v="2024-03-31T00:00:00"/>
    <n v="22.36"/>
    <n v="33853.040000000001"/>
    <s v="GapJeans1514151562453774538222.36"/>
    <b v="0"/>
  </r>
  <r>
    <s v="ORD0279"/>
    <x v="2"/>
    <x v="1"/>
    <n v="4373"/>
    <n v="4369"/>
    <n v="342"/>
    <x v="193"/>
    <x v="9"/>
    <d v="2024-04-23T00:00:00"/>
    <n v="12.49"/>
    <n v="54618.770000000004"/>
    <s v="GapHoodie43734369342454054540512.49"/>
    <b v="0"/>
  </r>
  <r>
    <s v="ORD0280"/>
    <x v="2"/>
    <x v="0"/>
    <n v="4219"/>
    <n v="4344"/>
    <n v="277"/>
    <x v="185"/>
    <x v="11"/>
    <d v="2024-12-13T00:00:00"/>
    <n v="7.26"/>
    <n v="30629.94"/>
    <s v="GapJeans4219434427745636456397.26"/>
    <b v="0"/>
  </r>
  <r>
    <s v="ORD0281"/>
    <x v="2"/>
    <x v="2"/>
    <n v="3572"/>
    <n v="3330"/>
    <n v="186"/>
    <x v="70"/>
    <x v="2"/>
    <d v="2024-03-09T00:00:00"/>
    <n v="12.88"/>
    <n v="46007.360000000001"/>
    <s v="GapShirt35723330186453604536012.88"/>
    <b v="0"/>
  </r>
  <r>
    <s v="ORD0282"/>
    <x v="1"/>
    <x v="3"/>
    <n v="4173"/>
    <n v="3973"/>
    <n v="84"/>
    <x v="133"/>
    <x v="2"/>
    <d v="2024-03-03T00:00:00"/>
    <n v="17.100000000000001"/>
    <n v="71358.3"/>
    <s v="UniqloT-shirt4173397384453544535417.1"/>
    <b v="0"/>
  </r>
  <r>
    <s v="ORD0283"/>
    <x v="0"/>
    <x v="3"/>
    <n v="3732"/>
    <n v="3586"/>
    <n v="254"/>
    <x v="194"/>
    <x v="2"/>
    <d v="2024-03-22T00:00:00"/>
    <n v="20.65"/>
    <n v="77065.799999999988"/>
    <s v="H&amp;MT-shirt37323586254453684537320.65"/>
    <b v="0"/>
  </r>
  <r>
    <s v="ORD0284"/>
    <x v="3"/>
    <x v="0"/>
    <n v="988"/>
    <n v="905"/>
    <n v="50"/>
    <x v="195"/>
    <x v="0"/>
    <d v="2024-05-14T00:00:00"/>
    <n v="20.3"/>
    <n v="20056.400000000001"/>
    <s v="ZaraJeans98890550454234542620.3"/>
    <b v="0"/>
  </r>
  <r>
    <s v="ORD0285"/>
    <x v="2"/>
    <x v="3"/>
    <n v="4614"/>
    <n v="4711"/>
    <n v="298"/>
    <x v="74"/>
    <x v="11"/>
    <d v="2024-12-06T00:00:00"/>
    <n v="20.96"/>
    <n v="96709.440000000002"/>
    <s v="GapT-shirt46144711298456304563220.96"/>
    <b v="0"/>
  </r>
  <r>
    <s v="ORD0286"/>
    <x v="0"/>
    <x v="3"/>
    <n v="4212"/>
    <n v="3866"/>
    <n v="186"/>
    <x v="180"/>
    <x v="0"/>
    <d v="2024-05-22T00:00:00"/>
    <n v="5.12"/>
    <n v="21565.439999999999"/>
    <s v="H&amp;MT-shirt4212386618645434454345.12"/>
    <b v="0"/>
  </r>
  <r>
    <s v="ORD0287"/>
    <x v="3"/>
    <x v="1"/>
    <n v="3647"/>
    <n v="3615"/>
    <n v="178"/>
    <x v="63"/>
    <x v="9"/>
    <d v="2024-04-02T00:00:00"/>
    <n v="12.61"/>
    <n v="45988.67"/>
    <s v="ZaraHoodie36473615178453844538412.61"/>
    <b v="0"/>
  </r>
  <r>
    <s v="ORD0288"/>
    <x v="1"/>
    <x v="4"/>
    <n v="1940"/>
    <n v="1815"/>
    <n v="65"/>
    <x v="33"/>
    <x v="6"/>
    <d v="2024-09-23T00:00:00"/>
    <n v="9.5500000000000007"/>
    <n v="18527"/>
    <s v="UniqloJacket194018156545558455589.55"/>
    <b v="0"/>
  </r>
  <r>
    <s v="ORD0289"/>
    <x v="3"/>
    <x v="0"/>
    <n v="3515"/>
    <n v="3515"/>
    <n v="187"/>
    <x v="196"/>
    <x v="7"/>
    <d v="2024-01-05T00:00:00"/>
    <n v="14.27"/>
    <n v="50159.049999999996"/>
    <s v="ZaraJeans35153515187452944529614.27"/>
    <b v="0"/>
  </r>
  <r>
    <s v="ORD0290"/>
    <x v="2"/>
    <x v="3"/>
    <n v="4365"/>
    <n v="4551"/>
    <n v="315"/>
    <x v="197"/>
    <x v="5"/>
    <d v="2024-08-08T00:00:00"/>
    <n v="23.28"/>
    <n v="101617.20000000001"/>
    <s v="GapT-shirt43654551315455124551223.28"/>
    <b v="0"/>
  </r>
  <r>
    <s v="ORD0291"/>
    <x v="4"/>
    <x v="3"/>
    <n v="511"/>
    <n v="471"/>
    <n v="22"/>
    <x v="127"/>
    <x v="5"/>
    <d v="2024-08-20T00:00:00"/>
    <n v="9.92"/>
    <n v="5069.12"/>
    <s v="PrimarkT-shirt5114712245519455249.92"/>
    <b v="0"/>
  </r>
  <r>
    <s v="ORD0292"/>
    <x v="4"/>
    <x v="1"/>
    <n v="542"/>
    <n v="549"/>
    <n v="36"/>
    <x v="198"/>
    <x v="7"/>
    <d v="2024-01-26T00:00:00"/>
    <n v="19.36"/>
    <n v="10493.119999999999"/>
    <s v="PrimarkHoodie54254936453124531719.36"/>
    <b v="0"/>
  </r>
  <r>
    <s v="ORD0293"/>
    <x v="2"/>
    <x v="4"/>
    <n v="1514"/>
    <n v="1566"/>
    <n v="23"/>
    <x v="199"/>
    <x v="1"/>
    <d v="2024-10-18T00:00:00"/>
    <n v="24.09"/>
    <n v="36472.26"/>
    <s v="GapJacket1514156623455834558324.09"/>
    <b v="0"/>
  </r>
  <r>
    <s v="ORD0294"/>
    <x v="2"/>
    <x v="4"/>
    <n v="4646"/>
    <n v="4223"/>
    <n v="318"/>
    <x v="59"/>
    <x v="1"/>
    <d v="2024-10-19T00:00:00"/>
    <n v="12.03"/>
    <n v="55891.38"/>
    <s v="GapJacket46464223318455814558412.03"/>
    <b v="0"/>
  </r>
  <r>
    <s v="ORD0295"/>
    <x v="2"/>
    <x v="1"/>
    <n v="1463"/>
    <n v="1373"/>
    <n v="41"/>
    <x v="72"/>
    <x v="5"/>
    <d v="2024-08-27T00:00:00"/>
    <n v="11.15"/>
    <n v="16312.45"/>
    <s v="GapHoodie1463137341455304553111.15"/>
    <b v="0"/>
  </r>
  <r>
    <s v="ORD0296"/>
    <x v="1"/>
    <x v="4"/>
    <n v="605"/>
    <n v="599"/>
    <n v="36"/>
    <x v="195"/>
    <x v="0"/>
    <d v="2024-05-11T00:00:00"/>
    <n v="10.45"/>
    <n v="6322.25"/>
    <s v="UniqloJacket60559936454234542310.45"/>
    <b v="0"/>
  </r>
  <r>
    <s v="ORD0297"/>
    <x v="4"/>
    <x v="4"/>
    <n v="3916"/>
    <n v="3831"/>
    <n v="71"/>
    <x v="200"/>
    <x v="8"/>
    <d v="2024-02-10T00:00:00"/>
    <n v="22.19"/>
    <n v="86896.040000000008"/>
    <s v="PrimarkJacket3916383171453304533222.19"/>
    <b v="0"/>
  </r>
  <r>
    <s v="ORD0298"/>
    <x v="1"/>
    <x v="1"/>
    <n v="4154"/>
    <n v="3922"/>
    <n v="257"/>
    <x v="111"/>
    <x v="8"/>
    <d v="2024-02-06T00:00:00"/>
    <n v="8.6999999999999993"/>
    <n v="36139.799999999996"/>
    <s v="UniqloHoodie4154392225745327453288.7"/>
    <b v="0"/>
  </r>
  <r>
    <s v="ORD0299"/>
    <x v="4"/>
    <x v="1"/>
    <n v="1975"/>
    <n v="1803"/>
    <n v="120"/>
    <x v="77"/>
    <x v="3"/>
    <d v="2024-06-21T00:00:00"/>
    <n v="12.47"/>
    <n v="24628.25"/>
    <s v="PrimarkHoodie19751803120454644546412.47"/>
    <b v="0"/>
  </r>
  <r>
    <s v="ORD0300"/>
    <x v="4"/>
    <x v="0"/>
    <n v="3438"/>
    <n v="3095"/>
    <n v="169"/>
    <x v="201"/>
    <x v="5"/>
    <d v="2024-08-07T00:00:00"/>
    <n v="15.3"/>
    <n v="52601.4"/>
    <s v="PrimarkJeans34383095169455114551115.3"/>
    <b v="0"/>
  </r>
  <r>
    <s v="ORD0301"/>
    <x v="2"/>
    <x v="3"/>
    <n v="3597"/>
    <n v="3351"/>
    <n v="176"/>
    <x v="202"/>
    <x v="0"/>
    <d v="2024-05-04T00:00:00"/>
    <n v="13.22"/>
    <n v="47552.340000000004"/>
    <s v="GapT-shirt35973351176454164541613.22"/>
    <b v="0"/>
  </r>
  <r>
    <s v="ORD0302"/>
    <x v="2"/>
    <x v="3"/>
    <n v="3131"/>
    <n v="3179"/>
    <n v="155"/>
    <x v="163"/>
    <x v="2"/>
    <d v="2024-03-08T00:00:00"/>
    <n v="10.11"/>
    <n v="31654.41"/>
    <s v="GapT-shirt31313179155453594535910.11"/>
    <b v="0"/>
  </r>
  <r>
    <s v="ORD0303"/>
    <x v="4"/>
    <x v="3"/>
    <n v="4183"/>
    <n v="4030"/>
    <n v="228"/>
    <x v="186"/>
    <x v="3"/>
    <d v="2024-06-12T00:00:00"/>
    <n v="6.91"/>
    <n v="28904.53"/>
    <s v="PrimarkT-shirt4183403022845455454556.91"/>
    <b v="0"/>
  </r>
  <r>
    <s v="ORD0304"/>
    <x v="2"/>
    <x v="0"/>
    <n v="3540"/>
    <n v="3411"/>
    <n v="70"/>
    <x v="158"/>
    <x v="9"/>
    <d v="2024-04-17T00:00:00"/>
    <n v="9.6999999999999993"/>
    <n v="34338"/>
    <s v="GapJeans354034117045399453999.7"/>
    <b v="0"/>
  </r>
  <r>
    <s v="ORD0305"/>
    <x v="4"/>
    <x v="2"/>
    <n v="1130"/>
    <n v="1107"/>
    <n v="24"/>
    <x v="61"/>
    <x v="3"/>
    <d v="2024-06-08T00:00:00"/>
    <n v="11.25"/>
    <n v="12712.5"/>
    <s v="PrimarkShirt1130110724454514545111.25"/>
    <b v="0"/>
  </r>
  <r>
    <s v="ORD0306"/>
    <x v="2"/>
    <x v="1"/>
    <n v="1149"/>
    <n v="1078"/>
    <n v="58"/>
    <x v="203"/>
    <x v="6"/>
    <d v="2024-09-21T00:00:00"/>
    <n v="6.17"/>
    <n v="7089.33"/>
    <s v="GapHoodie114910785845549455566.17"/>
    <b v="0"/>
  </r>
  <r>
    <s v="ORD0307"/>
    <x v="2"/>
    <x v="3"/>
    <n v="4858"/>
    <n v="4878"/>
    <n v="186"/>
    <x v="204"/>
    <x v="3"/>
    <d v="2024-06-15T00:00:00"/>
    <n v="13.56"/>
    <n v="65874.48"/>
    <s v="GapT-shirt48584878186454584545813.56"/>
    <b v="0"/>
  </r>
  <r>
    <s v="ORD0308"/>
    <x v="1"/>
    <x v="0"/>
    <n v="3851"/>
    <n v="3540"/>
    <n v="61"/>
    <x v="153"/>
    <x v="8"/>
    <d v="2024-02-18T00:00:00"/>
    <n v="19.489999999999998"/>
    <n v="75055.989999999991"/>
    <s v="UniqloJeans3851354061453334534019.49"/>
    <b v="0"/>
  </r>
  <r>
    <s v="ORD0309"/>
    <x v="3"/>
    <x v="0"/>
    <n v="1690"/>
    <n v="1716"/>
    <n v="48"/>
    <x v="186"/>
    <x v="3"/>
    <d v="2024-06-12T00:00:00"/>
    <n v="17.91"/>
    <n v="30267.9"/>
    <s v="ZaraJeans1690171648454554545517.91"/>
    <b v="0"/>
  </r>
  <r>
    <s v="ORD0310"/>
    <x v="0"/>
    <x v="0"/>
    <n v="572"/>
    <n v="542"/>
    <n v="14"/>
    <x v="205"/>
    <x v="10"/>
    <d v="2024-07-16T00:00:00"/>
    <n v="12.1"/>
    <n v="6921.2"/>
    <s v="H&amp;MJeans57254214454874548912.1"/>
    <b v="0"/>
  </r>
  <r>
    <s v="ORD0311"/>
    <x v="1"/>
    <x v="2"/>
    <n v="4213"/>
    <n v="4214"/>
    <n v="62"/>
    <x v="7"/>
    <x v="6"/>
    <d v="2024-09-23T00:00:00"/>
    <n v="17.8"/>
    <n v="74991.400000000009"/>
    <s v="UniqloShirt4213421462455554555817.8"/>
    <b v="0"/>
  </r>
  <r>
    <s v="ORD0312"/>
    <x v="4"/>
    <x v="1"/>
    <n v="2235"/>
    <n v="2229"/>
    <n v="105"/>
    <x v="206"/>
    <x v="6"/>
    <d v="2024-09-18T00:00:00"/>
    <n v="11.49"/>
    <n v="25680.15"/>
    <s v="PrimarkHoodie22352229105455504555311.49"/>
    <b v="0"/>
  </r>
  <r>
    <s v="ORD0313"/>
    <x v="0"/>
    <x v="0"/>
    <n v="3274"/>
    <n v="3132"/>
    <n v="110"/>
    <x v="21"/>
    <x v="1"/>
    <d v="2024-10-13T00:00:00"/>
    <n v="24.91"/>
    <n v="81555.34"/>
    <s v="H&amp;MJeans32743132110455774557824.91"/>
    <b v="0"/>
  </r>
  <r>
    <s v="ORD0314"/>
    <x v="1"/>
    <x v="3"/>
    <n v="1161"/>
    <n v="1142"/>
    <n v="87"/>
    <x v="131"/>
    <x v="1"/>
    <d v="2024-10-18T00:00:00"/>
    <n v="8.51"/>
    <n v="9880.11"/>
    <s v="UniqloT-shirt116111428745578455838.51"/>
    <b v="0"/>
  </r>
  <r>
    <s v="ORD0315"/>
    <x v="0"/>
    <x v="2"/>
    <n v="1516"/>
    <n v="1403"/>
    <n v="54"/>
    <x v="139"/>
    <x v="2"/>
    <d v="2024-03-02T00:00:00"/>
    <n v="13.45"/>
    <n v="20390.2"/>
    <s v="H&amp;MShirt1516140354453464535313.45"/>
    <b v="0"/>
  </r>
  <r>
    <s v="ORD0316"/>
    <x v="0"/>
    <x v="3"/>
    <n v="3583"/>
    <n v="3411"/>
    <n v="192"/>
    <x v="30"/>
    <x v="0"/>
    <d v="2024-05-26T00:00:00"/>
    <n v="20.91"/>
    <n v="74920.53"/>
    <s v="H&amp;MT-shirt35833411192454354543820.91"/>
    <b v="0"/>
  </r>
  <r>
    <s v="ORD0317"/>
    <x v="3"/>
    <x v="3"/>
    <n v="736"/>
    <n v="675"/>
    <n v="52"/>
    <x v="207"/>
    <x v="12"/>
    <d v="2025-01-01T00:00:00"/>
    <n v="5.4"/>
    <n v="3974.4"/>
    <s v="ZaraT-shirt7366755245651456585.4"/>
    <b v="0"/>
  </r>
  <r>
    <s v="ORD0318"/>
    <x v="1"/>
    <x v="3"/>
    <n v="863"/>
    <n v="808"/>
    <n v="46"/>
    <x v="208"/>
    <x v="5"/>
    <d v="2024-08-25T00:00:00"/>
    <n v="6.86"/>
    <n v="5920.18"/>
    <s v="UniqloT-shirt8638084645522455296.86"/>
    <b v="0"/>
  </r>
  <r>
    <s v="ORD0319"/>
    <x v="4"/>
    <x v="1"/>
    <n v="1512"/>
    <n v="1548"/>
    <n v="100"/>
    <x v="48"/>
    <x v="0"/>
    <d v="2024-05-22T00:00:00"/>
    <n v="19.170000000000002"/>
    <n v="28985.040000000001"/>
    <s v="PrimarkHoodie15121548100454334543419.17"/>
    <b v="0"/>
  </r>
  <r>
    <s v="ORD0320"/>
    <x v="0"/>
    <x v="4"/>
    <n v="2101"/>
    <n v="2010"/>
    <n v="68"/>
    <x v="209"/>
    <x v="4"/>
    <d v="2024-11-26T00:00:00"/>
    <n v="9.7799999999999994"/>
    <n v="20547.78"/>
    <s v="H&amp;MJacket210120106845622456229.78"/>
    <b v="0"/>
  </r>
  <r>
    <s v="ORD0321"/>
    <x v="1"/>
    <x v="0"/>
    <n v="2225"/>
    <n v="2151"/>
    <n v="111"/>
    <x v="180"/>
    <x v="0"/>
    <d v="2024-05-25T00:00:00"/>
    <n v="15.31"/>
    <n v="34064.75"/>
    <s v="UniqloJeans22252151111454344543715.31"/>
    <b v="0"/>
  </r>
  <r>
    <s v="ORD0322"/>
    <x v="0"/>
    <x v="1"/>
    <n v="743"/>
    <n v="691"/>
    <n v="51"/>
    <x v="86"/>
    <x v="2"/>
    <d v="2024-03-24T00:00:00"/>
    <n v="7.33"/>
    <n v="5446.19"/>
    <s v="H&amp;MHoodie7436915145373453757.33"/>
    <b v="0"/>
  </r>
  <r>
    <s v="ORD0323"/>
    <x v="4"/>
    <x v="2"/>
    <n v="2326"/>
    <n v="2328"/>
    <n v="110"/>
    <x v="210"/>
    <x v="2"/>
    <d v="2024-03-14T00:00:00"/>
    <n v="19.43"/>
    <n v="45194.18"/>
    <s v="PrimarkShirt23262328110453584536519.43"/>
    <b v="0"/>
  </r>
  <r>
    <s v="ORD0324"/>
    <x v="1"/>
    <x v="1"/>
    <n v="572"/>
    <n v="542"/>
    <n v="6"/>
    <x v="211"/>
    <x v="10"/>
    <d v="2024-07-25T00:00:00"/>
    <n v="8.08"/>
    <n v="4621.76"/>
    <s v="UniqloHoodie572542645497454988.08"/>
    <b v="0"/>
  </r>
  <r>
    <s v="ORD0325"/>
    <x v="4"/>
    <x v="1"/>
    <n v="4861"/>
    <n v="4974"/>
    <n v="95"/>
    <x v="186"/>
    <x v="3"/>
    <d v="2024-06-17T00:00:00"/>
    <n v="22.24"/>
    <n v="108108.64"/>
    <s v="PrimarkHoodie4861497495454554546022.24"/>
    <b v="0"/>
  </r>
  <r>
    <s v="ORD0326"/>
    <x v="4"/>
    <x v="4"/>
    <n v="1633"/>
    <n v="1689"/>
    <n v="114"/>
    <x v="106"/>
    <x v="7"/>
    <d v="2024-01-27T00:00:00"/>
    <n v="11.35"/>
    <n v="18534.55"/>
    <s v="PrimarkJacket16331689114453164531811.35"/>
    <b v="0"/>
  </r>
  <r>
    <s v="ORD0327"/>
    <x v="2"/>
    <x v="3"/>
    <n v="3029"/>
    <n v="2757"/>
    <n v="32"/>
    <x v="163"/>
    <x v="2"/>
    <d v="2024-03-10T00:00:00"/>
    <n v="7.7"/>
    <n v="23323.3"/>
    <s v="GapT-shirt302927573245359453617.7"/>
    <b v="0"/>
  </r>
  <r>
    <s v="ORD0328"/>
    <x v="2"/>
    <x v="4"/>
    <n v="4723"/>
    <n v="4557"/>
    <n v="145"/>
    <x v="212"/>
    <x v="0"/>
    <d v="2024-05-27T00:00:00"/>
    <n v="15.12"/>
    <n v="71411.759999999995"/>
    <s v="GapJacket47234557145454374543915.12"/>
    <b v="0"/>
  </r>
  <r>
    <s v="ORD0329"/>
    <x v="2"/>
    <x v="3"/>
    <n v="2994"/>
    <n v="2982"/>
    <n v="74"/>
    <x v="121"/>
    <x v="2"/>
    <d v="2024-03-05T00:00:00"/>
    <n v="17.39"/>
    <n v="52065.66"/>
    <s v="GapT-shirt2994298274453514535617.39"/>
    <b v="0"/>
  </r>
  <r>
    <s v="ORD0330"/>
    <x v="0"/>
    <x v="4"/>
    <n v="2453"/>
    <n v="2376"/>
    <n v="33"/>
    <x v="213"/>
    <x v="6"/>
    <d v="2024-09-14T00:00:00"/>
    <n v="24.9"/>
    <n v="61079.7"/>
    <s v="H&amp;MJacket2453237633455444554924.9"/>
    <b v="0"/>
  </r>
  <r>
    <s v="ORD0331"/>
    <x v="3"/>
    <x v="0"/>
    <n v="956"/>
    <n v="922"/>
    <n v="20"/>
    <x v="214"/>
    <x v="3"/>
    <d v="2024-06-07T00:00:00"/>
    <n v="6.49"/>
    <n v="6204.4400000000005"/>
    <s v="ZaraJeans9569222045447454506.49"/>
    <b v="0"/>
  </r>
  <r>
    <s v="ORD0332"/>
    <x v="4"/>
    <x v="4"/>
    <n v="4065"/>
    <n v="3720"/>
    <n v="217"/>
    <x v="215"/>
    <x v="6"/>
    <d v="2024-09-17T00:00:00"/>
    <n v="6.25"/>
    <n v="25406.25"/>
    <s v="PrimarkJacket4065372021745551455526.25"/>
    <b v="0"/>
  </r>
  <r>
    <s v="ORD0333"/>
    <x v="0"/>
    <x v="4"/>
    <n v="2138"/>
    <n v="1997"/>
    <n v="52"/>
    <x v="197"/>
    <x v="5"/>
    <d v="2024-08-09T00:00:00"/>
    <n v="9.42"/>
    <n v="20139.96"/>
    <s v="H&amp;MJacket213819975245512455139.42"/>
    <b v="0"/>
  </r>
  <r>
    <s v="ORD0334"/>
    <x v="2"/>
    <x v="1"/>
    <n v="919"/>
    <n v="899"/>
    <n v="35"/>
    <x v="216"/>
    <x v="9"/>
    <d v="2024-04-30T00:00:00"/>
    <n v="7.61"/>
    <n v="6993.59"/>
    <s v="GapHoodie9198993545407454127.61"/>
    <b v="0"/>
  </r>
  <r>
    <s v="ORD0335"/>
    <x v="1"/>
    <x v="3"/>
    <n v="1267"/>
    <n v="1177"/>
    <n v="42"/>
    <x v="103"/>
    <x v="7"/>
    <d v="2024-01-19T00:00:00"/>
    <n v="13.28"/>
    <n v="16825.759999999998"/>
    <s v="UniqloT-shirt1267117742453054531013.28"/>
    <b v="0"/>
  </r>
  <r>
    <s v="ORD0336"/>
    <x v="2"/>
    <x v="1"/>
    <n v="2264"/>
    <n v="2169"/>
    <n v="168"/>
    <x v="20"/>
    <x v="2"/>
    <d v="2024-03-02T00:00:00"/>
    <n v="9.9700000000000006"/>
    <n v="22572.080000000002"/>
    <s v="GapHoodie2264216916845353453539.97"/>
    <b v="0"/>
  </r>
  <r>
    <s v="ORD0337"/>
    <x v="2"/>
    <x v="4"/>
    <n v="2793"/>
    <n v="2844"/>
    <n v="144"/>
    <x v="217"/>
    <x v="2"/>
    <d v="2024-03-07T00:00:00"/>
    <n v="18.62"/>
    <n v="52005.66"/>
    <s v="GapJacket27932844144453564535818.62"/>
    <b v="0"/>
  </r>
  <r>
    <s v="ORD0338"/>
    <x v="0"/>
    <x v="4"/>
    <n v="2509"/>
    <n v="2348"/>
    <n v="183"/>
    <x v="77"/>
    <x v="3"/>
    <d v="2024-06-28T00:00:00"/>
    <n v="21.03"/>
    <n v="52764.270000000004"/>
    <s v="H&amp;MJacket25092348183454644547121.03"/>
    <b v="0"/>
  </r>
  <r>
    <s v="ORD0339"/>
    <x v="0"/>
    <x v="4"/>
    <n v="663"/>
    <n v="633"/>
    <n v="18"/>
    <x v="32"/>
    <x v="4"/>
    <d v="2024-11-10T00:00:00"/>
    <n v="17.920000000000002"/>
    <n v="11880.960000000001"/>
    <s v="H&amp;MJacket66363318455994560617.92"/>
    <b v="0"/>
  </r>
  <r>
    <s v="ORD0340"/>
    <x v="3"/>
    <x v="0"/>
    <n v="4778"/>
    <n v="4407"/>
    <n v="83"/>
    <x v="34"/>
    <x v="9"/>
    <d v="2024-04-22T00:00:00"/>
    <n v="22.29"/>
    <n v="106501.62"/>
    <s v="ZaraJeans4778440783454034540422.29"/>
    <b v="0"/>
  </r>
  <r>
    <s v="ORD0341"/>
    <x v="3"/>
    <x v="2"/>
    <n v="1093"/>
    <n v="1061"/>
    <n v="38"/>
    <x v="153"/>
    <x v="8"/>
    <d v="2024-02-13T00:00:00"/>
    <n v="12.89"/>
    <n v="14088.77"/>
    <s v="ZaraShirt1093106138453334533512.89"/>
    <b v="0"/>
  </r>
  <r>
    <s v="ORD0342"/>
    <x v="0"/>
    <x v="0"/>
    <n v="2944"/>
    <n v="2708"/>
    <n v="46"/>
    <x v="13"/>
    <x v="0"/>
    <d v="2024-05-08T00:00:00"/>
    <n v="18.170000000000002"/>
    <n v="53492.480000000003"/>
    <s v="H&amp;MJeans2944270846454204542018.17"/>
    <b v="0"/>
  </r>
  <r>
    <s v="ORD0343"/>
    <x v="4"/>
    <x v="3"/>
    <n v="1071"/>
    <n v="976"/>
    <n v="28"/>
    <x v="218"/>
    <x v="5"/>
    <d v="2024-08-21T00:00:00"/>
    <n v="23.61"/>
    <n v="25286.309999999998"/>
    <s v="PrimarkT-shirt107197628455234552523.61"/>
    <b v="0"/>
  </r>
  <r>
    <s v="ORD0344"/>
    <x v="2"/>
    <x v="4"/>
    <n v="1214"/>
    <n v="1182"/>
    <n v="43"/>
    <x v="219"/>
    <x v="2"/>
    <d v="2024-03-19T00:00:00"/>
    <n v="14"/>
    <n v="16996"/>
    <s v="GapJacket1214118243453704537014"/>
    <b v="0"/>
  </r>
  <r>
    <s v="ORD0345"/>
    <x v="4"/>
    <x v="3"/>
    <n v="4426"/>
    <n v="4327"/>
    <n v="88"/>
    <x v="220"/>
    <x v="2"/>
    <d v="2024-03-29T00:00:00"/>
    <n v="19.75"/>
    <n v="87413.5"/>
    <s v="PrimarkT-shirt4426432788453784538019.75"/>
    <b v="0"/>
  </r>
  <r>
    <s v="ORD0346"/>
    <x v="3"/>
    <x v="1"/>
    <n v="1531"/>
    <n v="1387"/>
    <n v="22"/>
    <x v="107"/>
    <x v="9"/>
    <d v="2024-04-18T00:00:00"/>
    <n v="19.329999999999998"/>
    <n v="29594.229999999996"/>
    <s v="ZaraHoodie1531138722454004540019.33"/>
    <b v="0"/>
  </r>
  <r>
    <s v="ORD0347"/>
    <x v="3"/>
    <x v="4"/>
    <n v="907"/>
    <n v="830"/>
    <n v="10"/>
    <x v="218"/>
    <x v="5"/>
    <d v="2024-08-19T00:00:00"/>
    <n v="15.17"/>
    <n v="13759.19"/>
    <s v="ZaraJacket90783010455234552315.17"/>
    <b v="0"/>
  </r>
  <r>
    <s v="ORD0348"/>
    <x v="3"/>
    <x v="2"/>
    <n v="2450"/>
    <n v="2313"/>
    <n v="79"/>
    <x v="221"/>
    <x v="7"/>
    <d v="2024-01-28T00:00:00"/>
    <n v="20.49"/>
    <n v="50200.499999999993"/>
    <s v="ZaraShirt2450231379453194531920.49"/>
    <b v="0"/>
  </r>
  <r>
    <s v="ORD0349"/>
    <x v="3"/>
    <x v="2"/>
    <n v="4062"/>
    <n v="3906"/>
    <n v="189"/>
    <x v="83"/>
    <x v="7"/>
    <d v="2024-01-15T00:00:00"/>
    <n v="21.61"/>
    <n v="87779.819999999992"/>
    <s v="ZaraShirt40623906189452994530621.61"/>
    <b v="0"/>
  </r>
  <r>
    <s v="ORD0350"/>
    <x v="3"/>
    <x v="3"/>
    <n v="2073"/>
    <n v="1891"/>
    <n v="87"/>
    <x v="222"/>
    <x v="0"/>
    <d v="2024-05-22T00:00:00"/>
    <n v="22.98"/>
    <n v="47637.54"/>
    <s v="ZaraT-shirt2073189187454274543422.98"/>
    <b v="0"/>
  </r>
  <r>
    <s v="ORD0351"/>
    <x v="2"/>
    <x v="2"/>
    <n v="859"/>
    <n v="853"/>
    <n v="31"/>
    <x v="137"/>
    <x v="8"/>
    <d v="2024-02-19T00:00:00"/>
    <n v="9.11"/>
    <n v="7825.49"/>
    <s v="GapShirt8598533145340453419.11"/>
    <b v="0"/>
  </r>
  <r>
    <s v="ORD0352"/>
    <x v="0"/>
    <x v="4"/>
    <n v="2113"/>
    <n v="1923"/>
    <n v="148"/>
    <x v="223"/>
    <x v="6"/>
    <d v="2024-09-11T00:00:00"/>
    <n v="14.57"/>
    <n v="30786.41"/>
    <s v="H&amp;MJacket21131923148455464554614.57"/>
    <b v="0"/>
  </r>
  <r>
    <s v="ORD0353"/>
    <x v="2"/>
    <x v="2"/>
    <n v="2696"/>
    <n v="2477"/>
    <n v="107"/>
    <x v="224"/>
    <x v="6"/>
    <d v="2024-09-27T00:00:00"/>
    <n v="7.28"/>
    <n v="19626.88"/>
    <s v="GapShirt2696247710745560455627.28"/>
    <b v="0"/>
  </r>
  <r>
    <s v="ORD0354"/>
    <x v="0"/>
    <x v="1"/>
    <n v="4483"/>
    <n v="4580"/>
    <n v="256"/>
    <x v="10"/>
    <x v="6"/>
    <d v="2024-09-27T00:00:00"/>
    <n v="7.56"/>
    <n v="33891.479999999996"/>
    <s v="H&amp;MHoodie4483458025645562455627.56"/>
    <b v="0"/>
  </r>
  <r>
    <s v="ORD0355"/>
    <x v="1"/>
    <x v="2"/>
    <n v="1435"/>
    <n v="1420"/>
    <n v="23"/>
    <x v="225"/>
    <x v="4"/>
    <d v="2024-11-30T00:00:00"/>
    <n v="12.52"/>
    <n v="17966.2"/>
    <s v="UniqloShirt1435142023456254562612.52"/>
    <b v="0"/>
  </r>
  <r>
    <s v="ORD0356"/>
    <x v="1"/>
    <x v="3"/>
    <n v="4197"/>
    <n v="4371"/>
    <n v="117"/>
    <x v="123"/>
    <x v="1"/>
    <d v="2024-10-14T00:00:00"/>
    <n v="7.43"/>
    <n v="31183.71"/>
    <s v="UniqloT-shirt4197437111745579455797.43"/>
    <b v="0"/>
  </r>
  <r>
    <s v="ORD0357"/>
    <x v="0"/>
    <x v="2"/>
    <n v="1185"/>
    <n v="1068"/>
    <n v="84"/>
    <x v="145"/>
    <x v="5"/>
    <d v="2024-08-14T00:00:00"/>
    <n v="18.43"/>
    <n v="21839.55"/>
    <s v="H&amp;MShirt1185106884455134551818.43"/>
    <b v="0"/>
  </r>
  <r>
    <s v="ORD0358"/>
    <x v="0"/>
    <x v="2"/>
    <n v="538"/>
    <n v="552"/>
    <n v="41"/>
    <x v="226"/>
    <x v="0"/>
    <d v="2024-05-31T00:00:00"/>
    <n v="10.039999999999999"/>
    <n v="5401.5199999999995"/>
    <s v="H&amp;MShirt53855241454404544310.04"/>
    <b v="0"/>
  </r>
  <r>
    <s v="ORD0359"/>
    <x v="3"/>
    <x v="4"/>
    <n v="801"/>
    <n v="808"/>
    <n v="51"/>
    <x v="227"/>
    <x v="10"/>
    <d v="2024-07-28T00:00:00"/>
    <n v="18.12"/>
    <n v="14514.12"/>
    <s v="ZaraJacket80180851454944550118.12"/>
    <b v="0"/>
  </r>
  <r>
    <s v="ORD0360"/>
    <x v="0"/>
    <x v="4"/>
    <n v="1097"/>
    <n v="1111"/>
    <n v="32"/>
    <x v="224"/>
    <x v="6"/>
    <d v="2024-09-25T00:00:00"/>
    <n v="15.79"/>
    <n v="17321.629999999997"/>
    <s v="H&amp;MJacket1097111132455604556015.79"/>
    <b v="0"/>
  </r>
  <r>
    <s v="ORD0361"/>
    <x v="0"/>
    <x v="4"/>
    <n v="4808"/>
    <n v="4850"/>
    <n v="326"/>
    <x v="177"/>
    <x v="2"/>
    <d v="2024-03-29T00:00:00"/>
    <n v="9.27"/>
    <n v="44570.159999999996"/>
    <s v="H&amp;MJacket4808485032645379453809.27"/>
    <b v="0"/>
  </r>
  <r>
    <s v="ORD0362"/>
    <x v="3"/>
    <x v="1"/>
    <n v="960"/>
    <n v="923"/>
    <n v="58"/>
    <x v="196"/>
    <x v="7"/>
    <d v="2024-01-08T00:00:00"/>
    <n v="19.87"/>
    <n v="19075.2"/>
    <s v="ZaraHoodie96092358452944529919.87"/>
    <b v="0"/>
  </r>
  <r>
    <s v="ORD0363"/>
    <x v="4"/>
    <x v="4"/>
    <n v="2153"/>
    <n v="2120"/>
    <n v="123"/>
    <x v="99"/>
    <x v="1"/>
    <d v="2024-10-14T00:00:00"/>
    <n v="22.47"/>
    <n v="48377.909999999996"/>
    <s v="PrimarkJacket21532120123455724557922.47"/>
    <b v="0"/>
  </r>
  <r>
    <s v="ORD0364"/>
    <x v="2"/>
    <x v="2"/>
    <n v="3800"/>
    <n v="3511"/>
    <n v="148"/>
    <x v="13"/>
    <x v="0"/>
    <d v="2024-05-09T00:00:00"/>
    <n v="5.19"/>
    <n v="19722"/>
    <s v="GapShirt3800351114845420454215.19"/>
    <b v="0"/>
  </r>
  <r>
    <s v="ORD0365"/>
    <x v="4"/>
    <x v="0"/>
    <n v="1784"/>
    <n v="1841"/>
    <n v="54"/>
    <x v="228"/>
    <x v="4"/>
    <d v="2024-11-15T00:00:00"/>
    <n v="8.8800000000000008"/>
    <n v="15841.920000000002"/>
    <s v="PrimarkJeans178418415445611456118.88"/>
    <b v="0"/>
  </r>
  <r>
    <s v="ORD0366"/>
    <x v="2"/>
    <x v="4"/>
    <n v="4062"/>
    <n v="3845"/>
    <n v="238"/>
    <x v="229"/>
    <x v="5"/>
    <d v="2024-08-06T00:00:00"/>
    <n v="21.3"/>
    <n v="86520.6"/>
    <s v="GapJacket40623845238455104551021.3"/>
    <b v="0"/>
  </r>
  <r>
    <s v="ORD0367"/>
    <x v="1"/>
    <x v="3"/>
    <n v="3637"/>
    <n v="3467"/>
    <n v="224"/>
    <x v="192"/>
    <x v="2"/>
    <d v="2024-03-26T00:00:00"/>
    <n v="16.079999999999998"/>
    <n v="58482.959999999992"/>
    <s v="UniqloT-shirt36373467224453774537716.08"/>
    <b v="0"/>
  </r>
  <r>
    <s v="ORD0368"/>
    <x v="0"/>
    <x v="1"/>
    <n v="3149"/>
    <n v="3230"/>
    <n v="220"/>
    <x v="230"/>
    <x v="9"/>
    <d v="2024-04-30T00:00:00"/>
    <n v="5.22"/>
    <n v="16437.78"/>
    <s v="H&amp;MHoodie3149323022045412454125.22"/>
    <b v="0"/>
  </r>
  <r>
    <s v="ORD0369"/>
    <x v="4"/>
    <x v="1"/>
    <n v="3134"/>
    <n v="3176"/>
    <n v="218"/>
    <x v="138"/>
    <x v="10"/>
    <d v="2024-07-31T00:00:00"/>
    <n v="14.41"/>
    <n v="45160.94"/>
    <s v="PrimarkHoodie31343176218455024550414.41"/>
    <b v="0"/>
  </r>
  <r>
    <s v="ORD0370"/>
    <x v="2"/>
    <x v="2"/>
    <n v="1197"/>
    <n v="1143"/>
    <n v="47"/>
    <x v="183"/>
    <x v="7"/>
    <d v="2024-01-27T00:00:00"/>
    <n v="19.440000000000001"/>
    <n v="23269.68"/>
    <s v="GapShirt1197114347453154531819.44"/>
    <b v="0"/>
  </r>
  <r>
    <s v="ORD0371"/>
    <x v="4"/>
    <x v="3"/>
    <n v="726"/>
    <n v="668"/>
    <n v="37"/>
    <x v="23"/>
    <x v="11"/>
    <d v="2024-12-26T00:00:00"/>
    <n v="5.04"/>
    <n v="3659.04"/>
    <s v="PrimarkT-shirt7266683745650456525.04"/>
    <b v="0"/>
  </r>
  <r>
    <s v="ORD0372"/>
    <x v="4"/>
    <x v="0"/>
    <n v="2585"/>
    <n v="2391"/>
    <n v="54"/>
    <x v="231"/>
    <x v="1"/>
    <d v="2024-10-04T00:00:00"/>
    <n v="12.75"/>
    <n v="32958.75"/>
    <s v="PrimarkJeans2585239154455644556912.75"/>
    <b v="0"/>
  </r>
  <r>
    <s v="ORD0373"/>
    <x v="2"/>
    <x v="3"/>
    <n v="3130"/>
    <n v="3042"/>
    <n v="167"/>
    <x v="232"/>
    <x v="11"/>
    <d v="2024-12-01T00:00:00"/>
    <n v="6.3"/>
    <n v="19719"/>
    <s v="GapT-shirt3130304216745627456276.3"/>
    <b v="0"/>
  </r>
  <r>
    <s v="ORD0374"/>
    <x v="0"/>
    <x v="2"/>
    <n v="3447"/>
    <n v="3129"/>
    <n v="137"/>
    <x v="233"/>
    <x v="3"/>
    <d v="2024-06-08T00:00:00"/>
    <n v="16.989999999999998"/>
    <n v="58564.529999999992"/>
    <s v="H&amp;MShirt34473129137454504545116.99"/>
    <b v="0"/>
  </r>
  <r>
    <s v="ORD0375"/>
    <x v="1"/>
    <x v="3"/>
    <n v="4655"/>
    <n v="4414"/>
    <n v="240"/>
    <x v="110"/>
    <x v="3"/>
    <d v="2024-06-02T00:00:00"/>
    <n v="7.98"/>
    <n v="37146.9"/>
    <s v="UniqloT-shirt4655441424045443454457.98"/>
    <b v="0"/>
  </r>
  <r>
    <s v="ORD0376"/>
    <x v="4"/>
    <x v="2"/>
    <n v="1041"/>
    <n v="1090"/>
    <n v="26"/>
    <x v="234"/>
    <x v="7"/>
    <d v="2024-01-26T00:00:00"/>
    <n v="21.5"/>
    <n v="22381.5"/>
    <s v="PrimarkShirt1041109026453104531721.5"/>
    <b v="0"/>
  </r>
  <r>
    <s v="ORD0377"/>
    <x v="4"/>
    <x v="2"/>
    <n v="4778"/>
    <n v="4827"/>
    <n v="127"/>
    <x v="102"/>
    <x v="9"/>
    <d v="2024-04-22T00:00:00"/>
    <n v="12.43"/>
    <n v="59390.54"/>
    <s v="PrimarkShirt47784827127454044540412.43"/>
    <b v="0"/>
  </r>
  <r>
    <s v="ORD0378"/>
    <x v="0"/>
    <x v="0"/>
    <n v="975"/>
    <n v="985"/>
    <n v="78"/>
    <x v="176"/>
    <x v="1"/>
    <d v="2024-10-27T00:00:00"/>
    <n v="23.66"/>
    <n v="23068.5"/>
    <s v="H&amp;MJeans97598578455924559223.66"/>
    <b v="0"/>
  </r>
  <r>
    <s v="ORD0379"/>
    <x v="1"/>
    <x v="2"/>
    <n v="2948"/>
    <n v="2935"/>
    <n v="131"/>
    <x v="28"/>
    <x v="10"/>
    <d v="2024-07-21T00:00:00"/>
    <n v="8.57"/>
    <n v="25264.36"/>
    <s v="UniqloShirt2948293513145489454948.57"/>
    <b v="0"/>
  </r>
  <r>
    <s v="ORD0380"/>
    <x v="3"/>
    <x v="2"/>
    <n v="2625"/>
    <n v="2656"/>
    <n v="164"/>
    <x v="184"/>
    <x v="4"/>
    <d v="2024-11-20T00:00:00"/>
    <n v="24.01"/>
    <n v="63026.250000000007"/>
    <s v="ZaraShirt26252656164456164561624.01"/>
    <b v="0"/>
  </r>
  <r>
    <s v="ORD0381"/>
    <x v="4"/>
    <x v="1"/>
    <n v="999"/>
    <n v="953"/>
    <n v="31"/>
    <x v="102"/>
    <x v="9"/>
    <d v="2024-04-25T00:00:00"/>
    <n v="5.52"/>
    <n v="5514.48"/>
    <s v="PrimarkHoodie9999533145404454075.52"/>
    <b v="0"/>
  </r>
  <r>
    <s v="ORD0382"/>
    <x v="1"/>
    <x v="2"/>
    <n v="3257"/>
    <n v="3184"/>
    <n v="98"/>
    <x v="235"/>
    <x v="8"/>
    <d v="2024-02-07T00:00:00"/>
    <n v="23.81"/>
    <n v="77549.17"/>
    <s v="UniqloShirt3257318498453264532923.81"/>
    <b v="0"/>
  </r>
  <r>
    <s v="ORD0383"/>
    <x v="1"/>
    <x v="4"/>
    <n v="2503"/>
    <n v="2554"/>
    <n v="107"/>
    <x v="109"/>
    <x v="2"/>
    <d v="2024-03-10T00:00:00"/>
    <n v="14.66"/>
    <n v="36693.980000000003"/>
    <s v="UniqloJacket25032554107453614536114.66"/>
    <b v="0"/>
  </r>
  <r>
    <s v="ORD0384"/>
    <x v="1"/>
    <x v="0"/>
    <n v="3831"/>
    <n v="3476"/>
    <n v="254"/>
    <x v="29"/>
    <x v="1"/>
    <d v="2024-10-06T00:00:00"/>
    <n v="23.19"/>
    <n v="88840.89"/>
    <s v="UniqloJeans38313476254455714557123.19"/>
    <b v="0"/>
  </r>
  <r>
    <s v="ORD0385"/>
    <x v="4"/>
    <x v="1"/>
    <n v="3159"/>
    <n v="3205"/>
    <n v="67"/>
    <x v="236"/>
    <x v="10"/>
    <d v="2024-07-06T00:00:00"/>
    <n v="17.2"/>
    <n v="54334.799999999996"/>
    <s v="PrimarkHoodie3159320567454794547917.2"/>
    <b v="0"/>
  </r>
  <r>
    <s v="ORD0386"/>
    <x v="2"/>
    <x v="3"/>
    <n v="2119"/>
    <n v="2115"/>
    <n v="162"/>
    <x v="76"/>
    <x v="11"/>
    <d v="2024-12-29T00:00:00"/>
    <n v="6.38"/>
    <n v="13519.22"/>
    <s v="GapT-shirt2119211516245655456556.38"/>
    <b v="0"/>
  </r>
  <r>
    <s v="ORD0387"/>
    <x v="3"/>
    <x v="2"/>
    <n v="2961"/>
    <n v="2681"/>
    <n v="78"/>
    <x v="156"/>
    <x v="1"/>
    <d v="2024-10-03T00:00:00"/>
    <n v="10.51"/>
    <n v="31120.11"/>
    <s v="ZaraShirt2961268178455614556810.51"/>
    <b v="0"/>
  </r>
  <r>
    <s v="ORD0388"/>
    <x v="2"/>
    <x v="4"/>
    <n v="1405"/>
    <n v="1321"/>
    <n v="83"/>
    <x v="237"/>
    <x v="10"/>
    <d v="2024-07-26T00:00:00"/>
    <n v="13.99"/>
    <n v="19655.95"/>
    <s v="GapJacket1405132183454964549913.99"/>
    <b v="0"/>
  </r>
  <r>
    <s v="ORD0389"/>
    <x v="1"/>
    <x v="0"/>
    <n v="1340"/>
    <n v="1304"/>
    <n v="16"/>
    <x v="238"/>
    <x v="6"/>
    <d v="2024-09-06T00:00:00"/>
    <n v="6.25"/>
    <n v="8375"/>
    <s v="UniqloJeans134013041645541455416.25"/>
    <b v="0"/>
  </r>
  <r>
    <s v="ORD0390"/>
    <x v="4"/>
    <x v="4"/>
    <n v="1189"/>
    <n v="1143"/>
    <n v="39"/>
    <x v="61"/>
    <x v="3"/>
    <d v="2024-06-15T00:00:00"/>
    <n v="23"/>
    <n v="27347"/>
    <s v="PrimarkJacket1189114339454514545823"/>
    <b v="0"/>
  </r>
  <r>
    <s v="ORD0391"/>
    <x v="4"/>
    <x v="4"/>
    <n v="1671"/>
    <n v="1535"/>
    <n v="110"/>
    <x v="179"/>
    <x v="3"/>
    <d v="2024-06-03T00:00:00"/>
    <n v="12.87"/>
    <n v="21505.77"/>
    <s v="PrimarkJacket16711535110454454544612.87"/>
    <b v="0"/>
  </r>
  <r>
    <s v="ORD0392"/>
    <x v="0"/>
    <x v="2"/>
    <n v="4459"/>
    <n v="4187"/>
    <n v="256"/>
    <x v="86"/>
    <x v="2"/>
    <d v="2024-03-24T00:00:00"/>
    <n v="24.63"/>
    <n v="109825.17"/>
    <s v="H&amp;MShirt44594187256453734537524.63"/>
    <b v="0"/>
  </r>
  <r>
    <s v="ORD0393"/>
    <x v="3"/>
    <x v="2"/>
    <n v="4170"/>
    <n v="3876"/>
    <n v="192"/>
    <x v="185"/>
    <x v="11"/>
    <d v="2024-12-12T00:00:00"/>
    <n v="14.28"/>
    <n v="59547.6"/>
    <s v="ZaraShirt41703876192456364563814.28"/>
    <b v="0"/>
  </r>
  <r>
    <s v="ORD0394"/>
    <x v="2"/>
    <x v="1"/>
    <n v="4979"/>
    <n v="5203"/>
    <n v="118"/>
    <x v="175"/>
    <x v="9"/>
    <d v="2024-04-27T00:00:00"/>
    <n v="5.44"/>
    <n v="27085.760000000002"/>
    <s v="GapHoodie4979520311845408454095.44"/>
    <b v="0"/>
  </r>
  <r>
    <s v="ORD0395"/>
    <x v="1"/>
    <x v="1"/>
    <n v="1394"/>
    <n v="1307"/>
    <n v="90"/>
    <x v="26"/>
    <x v="2"/>
    <d v="2024-03-28T00:00:00"/>
    <n v="16.22"/>
    <n v="22610.679999999997"/>
    <s v="UniqloHoodie1394130790453724537916.22"/>
    <b v="0"/>
  </r>
  <r>
    <s v="ORD0396"/>
    <x v="0"/>
    <x v="1"/>
    <n v="1072"/>
    <n v="1103"/>
    <n v="66"/>
    <x v="192"/>
    <x v="2"/>
    <d v="2024-03-26T00:00:00"/>
    <n v="6.35"/>
    <n v="6807.2"/>
    <s v="H&amp;MHoodie107211036645377453776.35"/>
    <b v="0"/>
  </r>
  <r>
    <s v="ORD0397"/>
    <x v="3"/>
    <x v="1"/>
    <n v="2133"/>
    <n v="1945"/>
    <n v="81"/>
    <x v="191"/>
    <x v="11"/>
    <d v="2024-12-08T00:00:00"/>
    <n v="14.69"/>
    <n v="31333.77"/>
    <s v="ZaraHoodie2133194581456324563414.69"/>
    <b v="0"/>
  </r>
  <r>
    <s v="ORD0398"/>
    <x v="3"/>
    <x v="1"/>
    <n v="2037"/>
    <n v="2036"/>
    <n v="51"/>
    <x v="30"/>
    <x v="0"/>
    <d v="2024-05-30T00:00:00"/>
    <n v="6.95"/>
    <n v="14157.15"/>
    <s v="ZaraHoodie203720365145435454426.95"/>
    <b v="0"/>
  </r>
  <r>
    <s v="ORD0399"/>
    <x v="3"/>
    <x v="2"/>
    <n v="4250"/>
    <n v="4172"/>
    <n v="59"/>
    <x v="3"/>
    <x v="8"/>
    <d v="2024-02-28T00:00:00"/>
    <n v="15.25"/>
    <n v="64812.5"/>
    <s v="ZaraShirt4250417259453504535015.25"/>
    <b v="0"/>
  </r>
  <r>
    <s v="ORD0400"/>
    <x v="1"/>
    <x v="1"/>
    <n v="1110"/>
    <n v="1007"/>
    <n v="65"/>
    <x v="2"/>
    <x v="1"/>
    <d v="2024-10-04T00:00:00"/>
    <n v="9.0299999999999994"/>
    <n v="10023.299999999999"/>
    <s v="UniqloHoodie111010076545568455699.03"/>
    <b v="0"/>
  </r>
  <r>
    <s v="ORD0401"/>
    <x v="1"/>
    <x v="1"/>
    <n v="1677"/>
    <n v="1592"/>
    <n v="100"/>
    <x v="218"/>
    <x v="5"/>
    <d v="2024-08-21T00:00:00"/>
    <n v="15.39"/>
    <n v="25809.030000000002"/>
    <s v="UniqloHoodie16771592100455234552515.39"/>
    <b v="0"/>
  </r>
  <r>
    <s v="ORD0402"/>
    <x v="3"/>
    <x v="0"/>
    <n v="2249"/>
    <n v="2078"/>
    <n v="57"/>
    <x v="167"/>
    <x v="3"/>
    <d v="2024-06-16T00:00:00"/>
    <n v="23.93"/>
    <n v="53818.57"/>
    <s v="ZaraJeans2249207857454594545923.93"/>
    <b v="0"/>
  </r>
  <r>
    <s v="ORD0403"/>
    <x v="2"/>
    <x v="3"/>
    <n v="4367"/>
    <n v="4436"/>
    <n v="52"/>
    <x v="58"/>
    <x v="6"/>
    <d v="2024-09-10T00:00:00"/>
    <n v="6.3"/>
    <n v="27512.1"/>
    <s v="GapT-shirt436744365245545455456.3"/>
    <b v="0"/>
  </r>
  <r>
    <s v="ORD0404"/>
    <x v="0"/>
    <x v="4"/>
    <n v="2491"/>
    <n v="2347"/>
    <n v="87"/>
    <x v="204"/>
    <x v="3"/>
    <d v="2024-06-16T00:00:00"/>
    <n v="20.97"/>
    <n v="52236.27"/>
    <s v="H&amp;MJacket2491234787454584545920.97"/>
    <b v="0"/>
  </r>
  <r>
    <s v="ORD0405"/>
    <x v="4"/>
    <x v="3"/>
    <n v="2314"/>
    <n v="2367"/>
    <n v="86"/>
    <x v="5"/>
    <x v="4"/>
    <d v="2024-11-02T00:00:00"/>
    <n v="20.51"/>
    <n v="47460.140000000007"/>
    <s v="PrimarkT-shirt2314236786455984559820.51"/>
    <b v="0"/>
  </r>
  <r>
    <s v="ORD0406"/>
    <x v="4"/>
    <x v="4"/>
    <n v="3051"/>
    <n v="2831"/>
    <n v="46"/>
    <x v="239"/>
    <x v="1"/>
    <d v="2024-10-24T00:00:00"/>
    <n v="12.13"/>
    <n v="37008.630000000005"/>
    <s v="PrimarkJacket3051283146455884558912.13"/>
    <b v="0"/>
  </r>
  <r>
    <s v="ORD0407"/>
    <x v="3"/>
    <x v="4"/>
    <n v="984"/>
    <n v="979"/>
    <n v="64"/>
    <x v="240"/>
    <x v="6"/>
    <d v="2024-09-01T00:00:00"/>
    <n v="12.92"/>
    <n v="12713.28"/>
    <s v="ZaraJacket98497964455294553612.92"/>
    <b v="0"/>
  </r>
  <r>
    <s v="ORD0408"/>
    <x v="0"/>
    <x v="3"/>
    <n v="4025"/>
    <n v="4101"/>
    <n v="131"/>
    <x v="206"/>
    <x v="6"/>
    <d v="2024-09-15T00:00:00"/>
    <n v="22.14"/>
    <n v="89113.5"/>
    <s v="H&amp;MT-shirt40254101131455504555022.14"/>
    <b v="0"/>
  </r>
  <r>
    <s v="ORD0409"/>
    <x v="1"/>
    <x v="1"/>
    <n v="2398"/>
    <n v="2511"/>
    <n v="49"/>
    <x v="83"/>
    <x v="7"/>
    <d v="2024-01-10T00:00:00"/>
    <n v="9.0399999999999991"/>
    <n v="21677.919999999998"/>
    <s v="UniqloHoodie239825114945299453019.04"/>
    <b v="0"/>
  </r>
  <r>
    <s v="ORD0410"/>
    <x v="2"/>
    <x v="3"/>
    <n v="1187"/>
    <n v="1095"/>
    <n v="44"/>
    <x v="241"/>
    <x v="6"/>
    <d v="2024-09-02T00:00:00"/>
    <n v="17.309999999999999"/>
    <n v="20546.969999999998"/>
    <s v="GapT-shirt1187109544455374553717.31"/>
    <b v="0"/>
  </r>
  <r>
    <s v="ORD0411"/>
    <x v="3"/>
    <x v="4"/>
    <n v="3091"/>
    <n v="2836"/>
    <n v="175"/>
    <x v="13"/>
    <x v="0"/>
    <d v="2024-05-13T00:00:00"/>
    <n v="11.39"/>
    <n v="35206.490000000005"/>
    <s v="ZaraJacket30912836175454204542511.39"/>
    <b v="0"/>
  </r>
  <r>
    <s v="ORD0412"/>
    <x v="0"/>
    <x v="3"/>
    <n v="2410"/>
    <n v="2213"/>
    <n v="134"/>
    <x v="154"/>
    <x v="9"/>
    <d v="2024-04-11T00:00:00"/>
    <n v="11.46"/>
    <n v="27618.600000000002"/>
    <s v="H&amp;MT-shirt24102213134453934539311.46"/>
    <b v="0"/>
  </r>
  <r>
    <s v="ORD0413"/>
    <x v="4"/>
    <x v="2"/>
    <n v="2094"/>
    <n v="1935"/>
    <n v="21"/>
    <x v="242"/>
    <x v="11"/>
    <d v="2024-12-19T00:00:00"/>
    <n v="16.2"/>
    <n v="33922.799999999996"/>
    <s v="PrimarkShirt2094193521456444564516.2"/>
    <b v="0"/>
  </r>
  <r>
    <s v="ORD0414"/>
    <x v="4"/>
    <x v="1"/>
    <n v="4364"/>
    <n v="4466"/>
    <n v="110"/>
    <x v="81"/>
    <x v="5"/>
    <d v="2024-08-16T00:00:00"/>
    <n v="12.58"/>
    <n v="54899.12"/>
    <s v="PrimarkHoodie43644466110455184552012.58"/>
    <b v="0"/>
  </r>
  <r>
    <s v="ORD0415"/>
    <x v="1"/>
    <x v="3"/>
    <n v="4047"/>
    <n v="4163"/>
    <n v="280"/>
    <x v="138"/>
    <x v="10"/>
    <d v="2024-07-30T00:00:00"/>
    <n v="15.82"/>
    <n v="64023.54"/>
    <s v="UniqloT-shirt40474163280455024550315.82"/>
    <b v="0"/>
  </r>
  <r>
    <s v="ORD0416"/>
    <x v="3"/>
    <x v="1"/>
    <n v="3490"/>
    <n v="3482"/>
    <n v="111"/>
    <x v="1"/>
    <x v="0"/>
    <d v="2024-05-11T00:00:00"/>
    <n v="10.09"/>
    <n v="35214.1"/>
    <s v="ZaraHoodie34903482111454224542310.09"/>
    <b v="0"/>
  </r>
  <r>
    <s v="ORD0417"/>
    <x v="3"/>
    <x v="4"/>
    <n v="2321"/>
    <n v="2149"/>
    <n v="128"/>
    <x v="66"/>
    <x v="10"/>
    <d v="2024-07-08T00:00:00"/>
    <n v="21.52"/>
    <n v="49947.92"/>
    <s v="ZaraJacket23212149128454814548121.52"/>
    <b v="0"/>
  </r>
  <r>
    <s v="ORD0418"/>
    <x v="2"/>
    <x v="0"/>
    <n v="1480"/>
    <n v="1425"/>
    <n v="104"/>
    <x v="243"/>
    <x v="11"/>
    <d v="2024-12-03T00:00:00"/>
    <n v="19.79"/>
    <n v="29289.199999999997"/>
    <s v="GapJeans14801425104456294562919.79"/>
    <b v="0"/>
  </r>
  <r>
    <s v="ORD0419"/>
    <x v="1"/>
    <x v="2"/>
    <n v="1598"/>
    <n v="1594"/>
    <n v="85"/>
    <x v="184"/>
    <x v="4"/>
    <d v="2024-11-21T00:00:00"/>
    <n v="12.05"/>
    <n v="19255.900000000001"/>
    <s v="UniqloShirt1598159485456164561712.05"/>
    <b v="0"/>
  </r>
  <r>
    <s v="ORD0420"/>
    <x v="1"/>
    <x v="0"/>
    <n v="2174"/>
    <n v="2231"/>
    <n v="61"/>
    <x v="244"/>
    <x v="6"/>
    <d v="2024-09-28T00:00:00"/>
    <n v="5.62"/>
    <n v="12217.880000000001"/>
    <s v="UniqloJeans217422316145563455635.62"/>
    <b v="0"/>
  </r>
  <r>
    <s v="ORD0421"/>
    <x v="3"/>
    <x v="2"/>
    <n v="1589"/>
    <n v="1505"/>
    <n v="15"/>
    <x v="245"/>
    <x v="10"/>
    <d v="2024-07-20T00:00:00"/>
    <n v="18.63"/>
    <n v="29603.07"/>
    <s v="ZaraShirt1589150515454924549318.63"/>
    <b v="0"/>
  </r>
  <r>
    <s v="ORD0422"/>
    <x v="1"/>
    <x v="4"/>
    <n v="4719"/>
    <n v="4949"/>
    <n v="74"/>
    <x v="210"/>
    <x v="2"/>
    <d v="2024-03-08T00:00:00"/>
    <n v="6.54"/>
    <n v="30862.26"/>
    <s v="UniqloJacket471949497445358453596.54"/>
    <b v="0"/>
  </r>
  <r>
    <s v="ORD0423"/>
    <x v="2"/>
    <x v="2"/>
    <n v="941"/>
    <n v="919"/>
    <n v="28"/>
    <x v="81"/>
    <x v="5"/>
    <d v="2024-08-14T00:00:00"/>
    <n v="9.25"/>
    <n v="8704.25"/>
    <s v="GapShirt9419192845518455189.25"/>
    <b v="0"/>
  </r>
  <r>
    <s v="ORD0424"/>
    <x v="2"/>
    <x v="4"/>
    <n v="4200"/>
    <n v="4037"/>
    <n v="254"/>
    <x v="200"/>
    <x v="8"/>
    <d v="2024-02-08T00:00:00"/>
    <n v="23.07"/>
    <n v="96894"/>
    <s v="GapJacket42004037254453304533023.07"/>
    <b v="0"/>
  </r>
  <r>
    <s v="ORD0425"/>
    <x v="4"/>
    <x v="1"/>
    <n v="4438"/>
    <n v="4033"/>
    <n v="294"/>
    <x v="112"/>
    <x v="0"/>
    <d v="2024-05-13T00:00:00"/>
    <n v="18.02"/>
    <n v="79972.759999999995"/>
    <s v="PrimarkHoodie44384033294454254542518.02"/>
    <b v="0"/>
  </r>
  <r>
    <s v="ORD0426"/>
    <x v="2"/>
    <x v="4"/>
    <n v="2954"/>
    <n v="2733"/>
    <n v="101"/>
    <x v="48"/>
    <x v="0"/>
    <d v="2024-05-22T00:00:00"/>
    <n v="12.59"/>
    <n v="37190.86"/>
    <s v="GapJacket29542733101454334543412.59"/>
    <b v="0"/>
  </r>
  <r>
    <s v="ORD0427"/>
    <x v="2"/>
    <x v="2"/>
    <n v="1339"/>
    <n v="1230"/>
    <n v="47"/>
    <x v="246"/>
    <x v="2"/>
    <d v="2024-03-24T00:00:00"/>
    <n v="21.05"/>
    <n v="28185.95"/>
    <s v="GapShirt1339123047453754537521.05"/>
    <b v="0"/>
  </r>
  <r>
    <s v="ORD0428"/>
    <x v="3"/>
    <x v="1"/>
    <n v="780"/>
    <n v="751"/>
    <n v="8"/>
    <x v="136"/>
    <x v="3"/>
    <d v="2024-06-05T00:00:00"/>
    <n v="24.32"/>
    <n v="18969.599999999999"/>
    <s v="ZaraHoodie7807518454414544824.32"/>
    <b v="0"/>
  </r>
  <r>
    <s v="ORD0429"/>
    <x v="2"/>
    <x v="4"/>
    <n v="4588"/>
    <n v="4330"/>
    <n v="319"/>
    <x v="245"/>
    <x v="10"/>
    <d v="2024-07-20T00:00:00"/>
    <n v="20.079999999999998"/>
    <n v="92127.039999999994"/>
    <s v="GapJacket45884330319454924549320.08"/>
    <b v="0"/>
  </r>
  <r>
    <s v="ORD0430"/>
    <x v="4"/>
    <x v="2"/>
    <n v="2720"/>
    <n v="2840"/>
    <n v="172"/>
    <x v="230"/>
    <x v="0"/>
    <d v="2024-05-01T00:00:00"/>
    <n v="11.1"/>
    <n v="30192"/>
    <s v="PrimarkShirt27202840172454124541311.1"/>
    <b v="0"/>
  </r>
  <r>
    <s v="ORD0431"/>
    <x v="2"/>
    <x v="0"/>
    <n v="3490"/>
    <n v="3376"/>
    <n v="85"/>
    <x v="186"/>
    <x v="3"/>
    <d v="2024-06-19T00:00:00"/>
    <n v="7.4"/>
    <n v="25826"/>
    <s v="GapJeans349033768545455454627.4"/>
    <b v="0"/>
  </r>
  <r>
    <s v="ORD0432"/>
    <x v="4"/>
    <x v="2"/>
    <n v="3012"/>
    <n v="2820"/>
    <n v="30"/>
    <x v="247"/>
    <x v="9"/>
    <d v="2024-04-01T00:00:00"/>
    <n v="14.38"/>
    <n v="43312.560000000005"/>
    <s v="PrimarkShirt3012282030453804538314.38"/>
    <b v="0"/>
  </r>
  <r>
    <s v="ORD0433"/>
    <x v="1"/>
    <x v="4"/>
    <n v="2262"/>
    <n v="2112"/>
    <n v="129"/>
    <x v="163"/>
    <x v="2"/>
    <d v="2024-03-09T00:00:00"/>
    <n v="16.98"/>
    <n v="38408.76"/>
    <s v="UniqloJacket22622112129453594536016.98"/>
    <b v="0"/>
  </r>
  <r>
    <s v="ORD0434"/>
    <x v="4"/>
    <x v="0"/>
    <n v="4508"/>
    <n v="4725"/>
    <n v="254"/>
    <x v="20"/>
    <x v="2"/>
    <d v="2024-03-02T00:00:00"/>
    <n v="15.63"/>
    <n v="70460.040000000008"/>
    <s v="PrimarkJeans45084725254453534535315.63"/>
    <b v="0"/>
  </r>
  <r>
    <s v="ORD0435"/>
    <x v="1"/>
    <x v="4"/>
    <n v="2979"/>
    <n v="2696"/>
    <n v="136"/>
    <x v="248"/>
    <x v="8"/>
    <d v="2024-02-21T00:00:00"/>
    <n v="24.91"/>
    <n v="74206.89"/>
    <s v="UniqloJacket29792696136453414534324.91"/>
    <b v="0"/>
  </r>
  <r>
    <s v="ORD0436"/>
    <x v="0"/>
    <x v="2"/>
    <n v="1160"/>
    <n v="1055"/>
    <n v="71"/>
    <x v="245"/>
    <x v="10"/>
    <d v="2024-07-21T00:00:00"/>
    <n v="16.98"/>
    <n v="19696.8"/>
    <s v="H&amp;MShirt1160105571454924549416.98"/>
    <b v="0"/>
  </r>
  <r>
    <s v="ORD0437"/>
    <x v="4"/>
    <x v="3"/>
    <n v="1558"/>
    <n v="1596"/>
    <n v="114"/>
    <x v="176"/>
    <x v="4"/>
    <d v="2024-11-01T00:00:00"/>
    <n v="16.440000000000001"/>
    <n v="25613.52"/>
    <s v="PrimarkT-shirt15581596114455924559716.44"/>
    <b v="0"/>
  </r>
  <r>
    <s v="ORD0438"/>
    <x v="0"/>
    <x v="4"/>
    <n v="1947"/>
    <n v="1844"/>
    <n v="74"/>
    <x v="78"/>
    <x v="11"/>
    <d v="2024-12-26T00:00:00"/>
    <n v="20.48"/>
    <n v="39874.559999999998"/>
    <s v="H&amp;MJacket1947184474456524565220.48"/>
    <b v="0"/>
  </r>
  <r>
    <s v="ORD0439"/>
    <x v="2"/>
    <x v="0"/>
    <n v="2573"/>
    <n v="2379"/>
    <n v="52"/>
    <x v="249"/>
    <x v="8"/>
    <d v="2024-02-08T00:00:00"/>
    <n v="23.96"/>
    <n v="61649.08"/>
    <s v="GapJeans2573237952453294533023.96"/>
    <b v="0"/>
  </r>
  <r>
    <s v="ORD0440"/>
    <x v="1"/>
    <x v="0"/>
    <n v="4240"/>
    <n v="4222"/>
    <n v="242"/>
    <x v="215"/>
    <x v="6"/>
    <d v="2024-09-19T00:00:00"/>
    <n v="7.63"/>
    <n v="32351.200000000001"/>
    <s v="UniqloJeans4240422224245551455547.63"/>
    <b v="0"/>
  </r>
  <r>
    <s v="ORD0441"/>
    <x v="1"/>
    <x v="2"/>
    <n v="1078"/>
    <n v="1075"/>
    <n v="82"/>
    <x v="78"/>
    <x v="11"/>
    <d v="2024-12-26T00:00:00"/>
    <n v="17.010000000000002"/>
    <n v="18336.780000000002"/>
    <s v="UniqloShirt1078107582456524565217.01"/>
    <b v="0"/>
  </r>
  <r>
    <s v="ORD0442"/>
    <x v="3"/>
    <x v="1"/>
    <n v="1610"/>
    <n v="1547"/>
    <n v="112"/>
    <x v="162"/>
    <x v="2"/>
    <d v="2024-03-02T00:00:00"/>
    <n v="5.0599999999999996"/>
    <n v="8146.5999999999995"/>
    <s v="ZaraHoodie1610154711245352453535.06"/>
    <b v="0"/>
  </r>
  <r>
    <s v="ORD0443"/>
    <x v="4"/>
    <x v="2"/>
    <n v="4857"/>
    <n v="4404"/>
    <n v="87"/>
    <x v="63"/>
    <x v="9"/>
    <d v="2024-04-04T00:00:00"/>
    <n v="10.54"/>
    <n v="51192.78"/>
    <s v="PrimarkShirt4857440487453844538610.54"/>
    <b v="0"/>
  </r>
  <r>
    <s v="ORD0444"/>
    <x v="1"/>
    <x v="3"/>
    <n v="3300"/>
    <n v="3278"/>
    <n v="140"/>
    <x v="174"/>
    <x v="11"/>
    <d v="2024-12-12T00:00:00"/>
    <n v="13.95"/>
    <n v="46035"/>
    <s v="UniqloT-shirt33003278140456314563813.95"/>
    <b v="0"/>
  </r>
  <r>
    <s v="ORD0445"/>
    <x v="1"/>
    <x v="4"/>
    <n v="2596"/>
    <n v="2339"/>
    <n v="59"/>
    <x v="242"/>
    <x v="11"/>
    <d v="2024-12-18T00:00:00"/>
    <n v="5.73"/>
    <n v="14875.080000000002"/>
    <s v="UniqloJacket259623395945644456445.73"/>
    <b v="0"/>
  </r>
  <r>
    <s v="ORD0446"/>
    <x v="1"/>
    <x v="3"/>
    <n v="840"/>
    <n v="811"/>
    <n v="20"/>
    <x v="178"/>
    <x v="4"/>
    <d v="2024-11-08T00:00:00"/>
    <n v="12.94"/>
    <n v="10869.6"/>
    <s v="UniqloT-shirt84081120456014560412.94"/>
    <b v="0"/>
  </r>
  <r>
    <s v="ORD0447"/>
    <x v="2"/>
    <x v="0"/>
    <n v="2300"/>
    <n v="2351"/>
    <n v="70"/>
    <x v="2"/>
    <x v="1"/>
    <d v="2024-10-03T00:00:00"/>
    <n v="21.36"/>
    <n v="49128"/>
    <s v="GapJeans2300235170455684556821.36"/>
    <b v="0"/>
  </r>
  <r>
    <s v="ORD0448"/>
    <x v="4"/>
    <x v="1"/>
    <n v="4142"/>
    <n v="4043"/>
    <n v="287"/>
    <x v="33"/>
    <x v="6"/>
    <d v="2024-09-26T00:00:00"/>
    <n v="14.87"/>
    <n v="61591.539999999994"/>
    <s v="PrimarkHoodie41424043287455584556114.87"/>
    <b v="0"/>
  </r>
  <r>
    <s v="ORD0449"/>
    <x v="2"/>
    <x v="1"/>
    <n v="1856"/>
    <n v="1929"/>
    <n v="41"/>
    <x v="234"/>
    <x v="7"/>
    <d v="2024-01-20T00:00:00"/>
    <n v="12.8"/>
    <n v="23756.800000000003"/>
    <s v="GapHoodie1856192941453104531112.8"/>
    <b v="0"/>
  </r>
  <r>
    <s v="ORD0450"/>
    <x v="3"/>
    <x v="4"/>
    <n v="3504"/>
    <n v="3528"/>
    <n v="185"/>
    <x v="176"/>
    <x v="1"/>
    <d v="2024-10-27T00:00:00"/>
    <n v="11.19"/>
    <n v="39209.759999999995"/>
    <s v="ZaraJacket35043528185455924559211.19"/>
    <b v="0"/>
  </r>
  <r>
    <s v="ORD0451"/>
    <x v="1"/>
    <x v="4"/>
    <n v="1487"/>
    <n v="1521"/>
    <n v="15"/>
    <x v="250"/>
    <x v="11"/>
    <d v="2024-12-11T00:00:00"/>
    <n v="17.73"/>
    <n v="26364.510000000002"/>
    <s v="UniqloJacket1487152115456344563717.73"/>
    <b v="0"/>
  </r>
  <r>
    <s v="ORD0452"/>
    <x v="2"/>
    <x v="2"/>
    <n v="3552"/>
    <n v="3638"/>
    <n v="46"/>
    <x v="212"/>
    <x v="0"/>
    <d v="2024-05-25T00:00:00"/>
    <n v="22.43"/>
    <n v="79671.360000000001"/>
    <s v="GapShirt3552363846454374543722.43"/>
    <b v="0"/>
  </r>
  <r>
    <s v="ORD0453"/>
    <x v="0"/>
    <x v="2"/>
    <n v="1489"/>
    <n v="1518"/>
    <n v="85"/>
    <x v="72"/>
    <x v="5"/>
    <d v="2024-08-27T00:00:00"/>
    <n v="6.85"/>
    <n v="10199.65"/>
    <s v="H&amp;MShirt148915188545530455316.85"/>
    <b v="0"/>
  </r>
  <r>
    <s v="ORD0454"/>
    <x v="0"/>
    <x v="0"/>
    <n v="1435"/>
    <n v="1453"/>
    <n v="21"/>
    <x v="180"/>
    <x v="0"/>
    <d v="2024-05-22T00:00:00"/>
    <n v="6.6"/>
    <n v="9471"/>
    <s v="H&amp;MJeans143514532145434454346.6"/>
    <b v="0"/>
  </r>
  <r>
    <s v="ORD0455"/>
    <x v="0"/>
    <x v="3"/>
    <n v="4506"/>
    <n v="4334"/>
    <n v="239"/>
    <x v="5"/>
    <x v="4"/>
    <d v="2024-11-02T00:00:00"/>
    <n v="17.93"/>
    <n v="80792.58"/>
    <s v="H&amp;MT-shirt45064334239455984559817.93"/>
    <b v="0"/>
  </r>
  <r>
    <s v="ORD0456"/>
    <x v="4"/>
    <x v="1"/>
    <n v="2496"/>
    <n v="2250"/>
    <n v="122"/>
    <x v="200"/>
    <x v="8"/>
    <d v="2024-02-09T00:00:00"/>
    <n v="23.27"/>
    <n v="58081.919999999998"/>
    <s v="PrimarkHoodie24962250122453304533123.27"/>
    <b v="0"/>
  </r>
  <r>
    <s v="ORD0457"/>
    <x v="2"/>
    <x v="0"/>
    <n v="1270"/>
    <n v="1280"/>
    <n v="23"/>
    <x v="96"/>
    <x v="3"/>
    <d v="2024-06-14T00:00:00"/>
    <n v="23.05"/>
    <n v="29273.5"/>
    <s v="GapJeans1270128023454574545723.05"/>
    <b v="0"/>
  </r>
  <r>
    <s v="ORD0458"/>
    <x v="3"/>
    <x v="2"/>
    <n v="3921"/>
    <n v="3612"/>
    <n v="39"/>
    <x v="147"/>
    <x v="5"/>
    <d v="2024-08-22T00:00:00"/>
    <n v="13.44"/>
    <n v="52698.239999999998"/>
    <s v="ZaraShirt3921361239455264552613.44"/>
    <b v="0"/>
  </r>
  <r>
    <s v="ORD0459"/>
    <x v="0"/>
    <x v="0"/>
    <n v="2498"/>
    <n v="2264"/>
    <n v="42"/>
    <x v="71"/>
    <x v="5"/>
    <d v="2024-08-10T00:00:00"/>
    <n v="16.170000000000002"/>
    <n v="40392.660000000003"/>
    <s v="H&amp;MJeans2498226442455144551416.17"/>
    <b v="0"/>
  </r>
  <r>
    <s v="ORD0460"/>
    <x v="0"/>
    <x v="3"/>
    <n v="1931"/>
    <n v="1926"/>
    <n v="133"/>
    <x v="212"/>
    <x v="0"/>
    <d v="2024-05-26T00:00:00"/>
    <n v="18.850000000000001"/>
    <n v="36399.350000000006"/>
    <s v="H&amp;MT-shirt19311926133454374543818.85"/>
    <b v="0"/>
  </r>
  <r>
    <s v="ORD0461"/>
    <x v="1"/>
    <x v="2"/>
    <n v="3158"/>
    <n v="2878"/>
    <n v="138"/>
    <x v="251"/>
    <x v="7"/>
    <d v="2024-01-31T00:00:00"/>
    <n v="22.23"/>
    <n v="70202.34"/>
    <s v="UniqloShirt31582878138453214532222.23"/>
    <b v="0"/>
  </r>
  <r>
    <s v="ORD0462"/>
    <x v="4"/>
    <x v="2"/>
    <n v="3935"/>
    <n v="4012"/>
    <n v="271"/>
    <x v="252"/>
    <x v="4"/>
    <d v="2024-11-30T00:00:00"/>
    <n v="22.15"/>
    <n v="87160.25"/>
    <s v="PrimarkShirt39354012271456264562622.15"/>
    <b v="0"/>
  </r>
  <r>
    <s v="ORD0463"/>
    <x v="2"/>
    <x v="0"/>
    <n v="3634"/>
    <n v="3324"/>
    <n v="240"/>
    <x v="94"/>
    <x v="4"/>
    <d v="2024-11-11T00:00:00"/>
    <n v="5.25"/>
    <n v="19078.5"/>
    <s v="GapJeans3634332424045604456075.25"/>
    <b v="0"/>
  </r>
  <r>
    <s v="ORD0464"/>
    <x v="2"/>
    <x v="3"/>
    <n v="2135"/>
    <n v="2047"/>
    <n v="95"/>
    <x v="214"/>
    <x v="3"/>
    <d v="2024-06-06T00:00:00"/>
    <n v="15.23"/>
    <n v="32516.05"/>
    <s v="GapT-shirt2135204795454474544915.23"/>
    <b v="0"/>
  </r>
  <r>
    <s v="ORD0465"/>
    <x v="0"/>
    <x v="1"/>
    <n v="506"/>
    <n v="466"/>
    <n v="33"/>
    <x v="31"/>
    <x v="0"/>
    <d v="2024-05-27T00:00:00"/>
    <n v="11.92"/>
    <n v="6031.5199999999995"/>
    <s v="H&amp;MHoodie50646633454394543911.92"/>
    <b v="0"/>
  </r>
  <r>
    <s v="ORD0466"/>
    <x v="2"/>
    <x v="0"/>
    <n v="3773"/>
    <n v="3761"/>
    <n v="205"/>
    <x v="190"/>
    <x v="0"/>
    <d v="2024-05-05T00:00:00"/>
    <n v="11.81"/>
    <n v="44559.130000000005"/>
    <s v="GapJeans37733761205454174541711.81"/>
    <b v="0"/>
  </r>
  <r>
    <s v="ORD0467"/>
    <x v="1"/>
    <x v="1"/>
    <n v="3428"/>
    <n v="3433"/>
    <n v="179"/>
    <x v="216"/>
    <x v="0"/>
    <d v="2024-05-02T00:00:00"/>
    <n v="12.29"/>
    <n v="42130.119999999995"/>
    <s v="UniqloHoodie34283433179454074541412.29"/>
    <b v="0"/>
  </r>
  <r>
    <s v="ORD0468"/>
    <x v="0"/>
    <x v="4"/>
    <n v="3775"/>
    <n v="3714"/>
    <n v="64"/>
    <x v="184"/>
    <x v="4"/>
    <d v="2024-11-23T00:00:00"/>
    <n v="8.35"/>
    <n v="31521.25"/>
    <s v="H&amp;MJacket377537146445616456198.35"/>
    <b v="0"/>
  </r>
  <r>
    <s v="ORD0469"/>
    <x v="4"/>
    <x v="1"/>
    <n v="1899"/>
    <n v="1987"/>
    <n v="93"/>
    <x v="179"/>
    <x v="3"/>
    <d v="2024-06-02T00:00:00"/>
    <n v="7.72"/>
    <n v="14660.279999999999"/>
    <s v="PrimarkHoodie189919879345445454457.72"/>
    <b v="0"/>
  </r>
  <r>
    <s v="ORD0470"/>
    <x v="3"/>
    <x v="0"/>
    <n v="4958"/>
    <n v="4750"/>
    <n v="100"/>
    <x v="24"/>
    <x v="4"/>
    <d v="2024-11-12T00:00:00"/>
    <n v="5.47"/>
    <n v="27120.26"/>
    <s v="ZaraJeans4958475010045606456085.47"/>
    <b v="0"/>
  </r>
  <r>
    <s v="ORD0471"/>
    <x v="2"/>
    <x v="1"/>
    <n v="1410"/>
    <n v="1372"/>
    <n v="26"/>
    <x v="35"/>
    <x v="8"/>
    <d v="2024-02-06T00:00:00"/>
    <n v="21.71"/>
    <n v="30611.100000000002"/>
    <s v="GapHoodie1410137226453284532821.71"/>
    <b v="0"/>
  </r>
  <r>
    <s v="ORD0472"/>
    <x v="0"/>
    <x v="0"/>
    <n v="623"/>
    <n v="590"/>
    <n v="42"/>
    <x v="245"/>
    <x v="10"/>
    <d v="2024-07-19T00:00:00"/>
    <n v="17.059999999999999"/>
    <n v="10628.38"/>
    <s v="H&amp;MJeans62359042454924549217.06"/>
    <b v="0"/>
  </r>
  <r>
    <s v="ORD0473"/>
    <x v="3"/>
    <x v="0"/>
    <n v="1296"/>
    <n v="1222"/>
    <n v="94"/>
    <x v="107"/>
    <x v="9"/>
    <d v="2024-04-25T00:00:00"/>
    <n v="12.79"/>
    <n v="16575.84"/>
    <s v="ZaraJeans1296122294454004540712.79"/>
    <b v="0"/>
  </r>
  <r>
    <s v="ORD0474"/>
    <x v="3"/>
    <x v="3"/>
    <n v="1801"/>
    <n v="1767"/>
    <n v="36"/>
    <x v="253"/>
    <x v="3"/>
    <d v="2024-06-12T00:00:00"/>
    <n v="16.07"/>
    <n v="28942.07"/>
    <s v="ZaraT-shirt1801176736454534545516.07"/>
    <b v="0"/>
  </r>
  <r>
    <s v="ORD0475"/>
    <x v="1"/>
    <x v="1"/>
    <n v="2890"/>
    <n v="2791"/>
    <n v="86"/>
    <x v="91"/>
    <x v="8"/>
    <d v="2024-02-20T00:00:00"/>
    <n v="10.19"/>
    <n v="29449.1"/>
    <s v="UniqloHoodie2890279186453424534210.19"/>
    <b v="0"/>
  </r>
  <r>
    <s v="ORD0476"/>
    <x v="4"/>
    <x v="3"/>
    <n v="840"/>
    <n v="799"/>
    <n v="23"/>
    <x v="23"/>
    <x v="11"/>
    <d v="2024-12-25T00:00:00"/>
    <n v="24.33"/>
    <n v="20437.199999999997"/>
    <s v="PrimarkT-shirt84079923456504565124.33"/>
    <b v="0"/>
  </r>
  <r>
    <s v="ORD0477"/>
    <x v="0"/>
    <x v="1"/>
    <n v="2022"/>
    <n v="1869"/>
    <n v="94"/>
    <x v="98"/>
    <x v="9"/>
    <d v="2024-04-20T00:00:00"/>
    <n v="24.99"/>
    <n v="50529.78"/>
    <s v="H&amp;MHoodie2022186994454024540224.99"/>
    <b v="0"/>
  </r>
  <r>
    <s v="ORD0478"/>
    <x v="2"/>
    <x v="1"/>
    <n v="2686"/>
    <n v="2500"/>
    <n v="161"/>
    <x v="243"/>
    <x v="11"/>
    <d v="2024-12-10T00:00:00"/>
    <n v="19.690000000000001"/>
    <n v="52887.340000000004"/>
    <s v="GapHoodie26862500161456294563619.69"/>
    <b v="0"/>
  </r>
  <r>
    <s v="ORD0479"/>
    <x v="1"/>
    <x v="4"/>
    <n v="1737"/>
    <n v="1711"/>
    <n v="91"/>
    <x v="191"/>
    <x v="11"/>
    <d v="2024-12-13T00:00:00"/>
    <n v="9.0299999999999994"/>
    <n v="15685.109999999999"/>
    <s v="UniqloJacket173717119145632456399.03"/>
    <b v="0"/>
  </r>
  <r>
    <s v="ORD0480"/>
    <x v="3"/>
    <x v="4"/>
    <n v="1807"/>
    <n v="1857"/>
    <n v="110"/>
    <x v="254"/>
    <x v="2"/>
    <d v="2024-03-04T00:00:00"/>
    <n v="23.14"/>
    <n v="41813.980000000003"/>
    <s v="ZaraJacket18071857110453554535523.14"/>
    <b v="0"/>
  </r>
  <r>
    <s v="ORD0481"/>
    <x v="4"/>
    <x v="1"/>
    <n v="1640"/>
    <n v="1623"/>
    <n v="56"/>
    <x v="241"/>
    <x v="6"/>
    <d v="2024-09-04T00:00:00"/>
    <n v="14.17"/>
    <n v="23238.799999999999"/>
    <s v="PrimarkHoodie1640162356455374553914.17"/>
    <b v="0"/>
  </r>
  <r>
    <s v="ORD0482"/>
    <x v="3"/>
    <x v="1"/>
    <n v="4329"/>
    <n v="4409"/>
    <n v="82"/>
    <x v="255"/>
    <x v="7"/>
    <d v="2024-01-20T00:00:00"/>
    <n v="20.88"/>
    <n v="90389.51999999999"/>
    <s v="ZaraHoodie4329440982453114531120.88"/>
    <b v="0"/>
  </r>
  <r>
    <s v="ORD0483"/>
    <x v="0"/>
    <x v="1"/>
    <n v="1057"/>
    <n v="956"/>
    <n v="74"/>
    <x v="179"/>
    <x v="3"/>
    <d v="2024-06-09T00:00:00"/>
    <n v="23.98"/>
    <n v="25346.86"/>
    <s v="H&amp;MHoodie105795674454454545223.98"/>
    <b v="0"/>
  </r>
  <r>
    <s v="ORD0484"/>
    <x v="4"/>
    <x v="1"/>
    <n v="3167"/>
    <n v="3079"/>
    <n v="216"/>
    <x v="238"/>
    <x v="6"/>
    <d v="2024-09-07T00:00:00"/>
    <n v="16.77"/>
    <n v="53110.59"/>
    <s v="PrimarkHoodie31673079216455414554216.77"/>
    <b v="0"/>
  </r>
  <r>
    <s v="ORD0485"/>
    <x v="3"/>
    <x v="0"/>
    <n v="2110"/>
    <n v="1963"/>
    <n v="124"/>
    <x v="227"/>
    <x v="10"/>
    <d v="2024-07-28T00:00:00"/>
    <n v="12.73"/>
    <n v="26860.3"/>
    <s v="ZaraJeans21101963124454944550112.73"/>
    <b v="0"/>
  </r>
  <r>
    <s v="ORD0486"/>
    <x v="1"/>
    <x v="3"/>
    <n v="3308"/>
    <n v="3156"/>
    <n v="191"/>
    <x v="229"/>
    <x v="5"/>
    <d v="2024-08-06T00:00:00"/>
    <n v="22.89"/>
    <n v="75720.12"/>
    <s v="UniqloT-shirt33083156191455104551022.89"/>
    <b v="0"/>
  </r>
  <r>
    <s v="ORD0487"/>
    <x v="3"/>
    <x v="4"/>
    <n v="2470"/>
    <n v="2446"/>
    <n v="125"/>
    <x v="14"/>
    <x v="3"/>
    <d v="2024-06-18T00:00:00"/>
    <n v="21.13"/>
    <n v="52191.1"/>
    <s v="ZaraJacket24702446125454544546121.13"/>
    <b v="0"/>
  </r>
  <r>
    <s v="ORD0488"/>
    <x v="2"/>
    <x v="2"/>
    <n v="3058"/>
    <n v="2802"/>
    <n v="195"/>
    <x v="22"/>
    <x v="5"/>
    <d v="2024-08-19T00:00:00"/>
    <n v="13.78"/>
    <n v="42139.24"/>
    <s v="GapShirt30582802195455164552313.78"/>
    <b v="0"/>
  </r>
  <r>
    <s v="ORD0489"/>
    <x v="3"/>
    <x v="1"/>
    <n v="2990"/>
    <n v="2704"/>
    <n v="210"/>
    <x v="36"/>
    <x v="10"/>
    <d v="2024-07-26T00:00:00"/>
    <n v="9.41"/>
    <n v="28135.9"/>
    <s v="ZaraHoodie2990270421045499454999.41"/>
    <b v="0"/>
  </r>
  <r>
    <s v="ORD0490"/>
    <x v="1"/>
    <x v="0"/>
    <n v="3027"/>
    <n v="3146"/>
    <n v="38"/>
    <x v="256"/>
    <x v="1"/>
    <d v="2024-10-31T00:00:00"/>
    <n v="22.44"/>
    <n v="67925.88"/>
    <s v="UniqloJeans3027314638455894559622.44"/>
    <b v="0"/>
  </r>
  <r>
    <s v="ORD0491"/>
    <x v="3"/>
    <x v="3"/>
    <n v="4721"/>
    <n v="4705"/>
    <n v="317"/>
    <x v="235"/>
    <x v="8"/>
    <d v="2024-02-11T00:00:00"/>
    <n v="11.67"/>
    <n v="55094.07"/>
    <s v="ZaraT-shirt47214705317453264533311.67"/>
    <b v="0"/>
  </r>
  <r>
    <s v="ORD0492"/>
    <x v="2"/>
    <x v="4"/>
    <n v="1809"/>
    <n v="1887"/>
    <n v="20"/>
    <x v="7"/>
    <x v="6"/>
    <d v="2024-09-20T00:00:00"/>
    <n v="24.96"/>
    <n v="45152.639999999999"/>
    <s v="GapJacket1809188720455554555524.96"/>
    <b v="0"/>
  </r>
  <r>
    <s v="ORD0493"/>
    <x v="4"/>
    <x v="1"/>
    <n v="4708"/>
    <n v="4300"/>
    <n v="43"/>
    <x v="199"/>
    <x v="1"/>
    <d v="2024-10-18T00:00:00"/>
    <n v="5.88"/>
    <n v="27683.040000000001"/>
    <s v="PrimarkHoodie470843004345583455835.88"/>
    <b v="0"/>
  </r>
  <r>
    <s v="ORD0494"/>
    <x v="0"/>
    <x v="3"/>
    <n v="2072"/>
    <n v="2094"/>
    <n v="41"/>
    <x v="236"/>
    <x v="10"/>
    <d v="2024-07-13T00:00:00"/>
    <n v="20.07"/>
    <n v="41585.040000000001"/>
    <s v="H&amp;MT-shirt2072209441454794548620.07"/>
    <b v="0"/>
  </r>
  <r>
    <s v="ORD0495"/>
    <x v="4"/>
    <x v="0"/>
    <n v="700"/>
    <n v="710"/>
    <n v="49"/>
    <x v="257"/>
    <x v="9"/>
    <d v="2024-04-18T00:00:00"/>
    <n v="17.27"/>
    <n v="12089"/>
    <s v="PrimarkJeans70071049453954540017.27"/>
    <b v="0"/>
  </r>
  <r>
    <s v="ORD0496"/>
    <x v="3"/>
    <x v="2"/>
    <n v="3836"/>
    <n v="3868"/>
    <n v="114"/>
    <x v="258"/>
    <x v="11"/>
    <d v="2024-12-23T00:00:00"/>
    <n v="18.75"/>
    <n v="71925"/>
    <s v="ZaraShirt38363868114456494564918.75"/>
    <b v="0"/>
  </r>
  <r>
    <s v="ORD0497"/>
    <x v="4"/>
    <x v="2"/>
    <n v="3926"/>
    <n v="3856"/>
    <n v="209"/>
    <x v="59"/>
    <x v="1"/>
    <d v="2024-10-18T00:00:00"/>
    <n v="16.54"/>
    <n v="64936.039999999994"/>
    <s v="PrimarkShirt39263856209455814558316.54"/>
    <b v="0"/>
  </r>
  <r>
    <s v="ORD0498"/>
    <x v="0"/>
    <x v="1"/>
    <n v="4144"/>
    <n v="3792"/>
    <n v="268"/>
    <x v="172"/>
    <x v="0"/>
    <d v="2024-05-29T00:00:00"/>
    <n v="18.63"/>
    <n v="77202.720000000001"/>
    <s v="H&amp;MHoodie41443792268454364544118.63"/>
    <b v="0"/>
  </r>
  <r>
    <s v="ORD0499"/>
    <x v="0"/>
    <x v="3"/>
    <n v="4757"/>
    <n v="4848"/>
    <n v="288"/>
    <x v="259"/>
    <x v="7"/>
    <d v="2024-01-20T00:00:00"/>
    <n v="6"/>
    <n v="28542"/>
    <s v="H&amp;MT-shirt4757484828845304453116"/>
    <b v="0"/>
  </r>
  <r>
    <s v="ORD0500"/>
    <x v="0"/>
    <x v="3"/>
    <n v="2658"/>
    <n v="2476"/>
    <n v="174"/>
    <x v="260"/>
    <x v="5"/>
    <d v="2024-08-05T00:00:00"/>
    <n v="13.03"/>
    <n v="34633.74"/>
    <s v="H&amp;MT-shirt26582476174455064550913.03"/>
    <b v="0"/>
  </r>
  <r>
    <s v="ORD0501"/>
    <x v="1"/>
    <x v="4"/>
    <n v="4465"/>
    <n v="4196"/>
    <n v="48"/>
    <x v="151"/>
    <x v="1"/>
    <d v="2024-10-21T00:00:00"/>
    <n v="16.670000000000002"/>
    <n v="74431.55"/>
    <s v="UniqloJacket4465419648455864558616.67"/>
    <b v="0"/>
  </r>
  <r>
    <s v="ORD0502"/>
    <x v="2"/>
    <x v="0"/>
    <n v="936"/>
    <n v="847"/>
    <n v="21"/>
    <x v="99"/>
    <x v="1"/>
    <d v="2024-10-10T00:00:00"/>
    <n v="13.32"/>
    <n v="12467.52"/>
    <s v="GapJeans93684721455724557513.32"/>
    <b v="0"/>
  </r>
  <r>
    <s v="ORD0503"/>
    <x v="3"/>
    <x v="3"/>
    <n v="2884"/>
    <n v="2906"/>
    <n v="205"/>
    <x v="261"/>
    <x v="8"/>
    <d v="2024-02-24T00:00:00"/>
    <n v="14.08"/>
    <n v="40606.720000000001"/>
    <s v="ZaraT-shirt28842906205453454534614.08"/>
    <b v="0"/>
  </r>
  <r>
    <s v="ORD0504"/>
    <x v="4"/>
    <x v="3"/>
    <n v="1159"/>
    <n v="1161"/>
    <n v="31"/>
    <x v="262"/>
    <x v="8"/>
    <d v="2024-02-29T00:00:00"/>
    <n v="19.28"/>
    <n v="22345.52"/>
    <s v="PrimarkT-shirt1159116131453444535119.28"/>
    <b v="0"/>
  </r>
  <r>
    <s v="ORD0505"/>
    <x v="1"/>
    <x v="1"/>
    <n v="2807"/>
    <n v="2586"/>
    <n v="166"/>
    <x v="263"/>
    <x v="0"/>
    <d v="2024-05-03T00:00:00"/>
    <n v="10.43"/>
    <n v="29277.01"/>
    <s v="UniqloHoodie28072586166454104541510.43"/>
    <b v="0"/>
  </r>
  <r>
    <s v="ORD0506"/>
    <x v="4"/>
    <x v="0"/>
    <n v="4545"/>
    <n v="4691"/>
    <n v="317"/>
    <x v="78"/>
    <x v="11"/>
    <d v="2024-12-27T00:00:00"/>
    <n v="19.43"/>
    <n v="88309.35"/>
    <s v="PrimarkJeans45454691317456524565319.43"/>
    <b v="0"/>
  </r>
  <r>
    <s v="ORD0507"/>
    <x v="4"/>
    <x v="0"/>
    <n v="1764"/>
    <n v="1722"/>
    <n v="22"/>
    <x v="264"/>
    <x v="1"/>
    <d v="2024-10-20T00:00:00"/>
    <n v="10.52"/>
    <n v="18557.28"/>
    <s v="PrimarkJeans1764172222455854558510.52"/>
    <b v="0"/>
  </r>
  <r>
    <s v="ORD0508"/>
    <x v="1"/>
    <x v="2"/>
    <n v="3914"/>
    <n v="3865"/>
    <n v="164"/>
    <x v="228"/>
    <x v="4"/>
    <d v="2024-11-17T00:00:00"/>
    <n v="11.81"/>
    <n v="46224.340000000004"/>
    <s v="UniqloShirt39143865164456114561311.81"/>
    <b v="0"/>
  </r>
  <r>
    <s v="ORD0509"/>
    <x v="1"/>
    <x v="0"/>
    <n v="1167"/>
    <n v="1068"/>
    <n v="37"/>
    <x v="253"/>
    <x v="3"/>
    <d v="2024-06-11T00:00:00"/>
    <n v="10.41"/>
    <n v="12148.47"/>
    <s v="UniqloJeans1167106837454534545410.41"/>
    <b v="0"/>
  </r>
  <r>
    <s v="ORD0510"/>
    <x v="1"/>
    <x v="2"/>
    <n v="1318"/>
    <n v="1271"/>
    <n v="93"/>
    <x v="62"/>
    <x v="3"/>
    <d v="2024-06-29T00:00:00"/>
    <n v="12.55"/>
    <n v="16540.900000000001"/>
    <s v="UniqloShirt1318127193454704547212.55"/>
    <b v="0"/>
  </r>
  <r>
    <s v="ORD0511"/>
    <x v="2"/>
    <x v="3"/>
    <n v="2948"/>
    <n v="2956"/>
    <n v="131"/>
    <x v="75"/>
    <x v="5"/>
    <d v="2024-08-11T00:00:00"/>
    <n v="12.75"/>
    <n v="37587"/>
    <s v="GapT-shirt29482956131455084551512.75"/>
    <b v="0"/>
  </r>
  <r>
    <s v="ORD0512"/>
    <x v="3"/>
    <x v="3"/>
    <n v="4618"/>
    <n v="4332"/>
    <n v="308"/>
    <x v="183"/>
    <x v="7"/>
    <d v="2024-01-25T00:00:00"/>
    <n v="8.66"/>
    <n v="39991.879999999997"/>
    <s v="ZaraT-shirt4618433230845315453168.66"/>
    <b v="0"/>
  </r>
  <r>
    <s v="ORD0513"/>
    <x v="3"/>
    <x v="0"/>
    <n v="1022"/>
    <n v="1065"/>
    <n v="63"/>
    <x v="198"/>
    <x v="7"/>
    <d v="2024-01-22T00:00:00"/>
    <n v="10.96"/>
    <n v="11201.12"/>
    <s v="ZaraJeans1022106563453124531310.96"/>
    <b v="0"/>
  </r>
  <r>
    <s v="ORD0514"/>
    <x v="1"/>
    <x v="2"/>
    <n v="1816"/>
    <n v="1647"/>
    <n v="57"/>
    <x v="221"/>
    <x v="8"/>
    <d v="2024-02-04T00:00:00"/>
    <n v="24.14"/>
    <n v="43838.239999999998"/>
    <s v="UniqloShirt1816164757453194532624.14"/>
    <b v="0"/>
  </r>
  <r>
    <s v="ORD0515"/>
    <x v="1"/>
    <x v="2"/>
    <n v="1878"/>
    <n v="1819"/>
    <n v="44"/>
    <x v="108"/>
    <x v="5"/>
    <d v="2024-08-23T00:00:00"/>
    <n v="12.37"/>
    <n v="23230.859999999997"/>
    <s v="UniqloShirt1878181944455274552712.37"/>
    <b v="0"/>
  </r>
  <r>
    <s v="ORD0516"/>
    <x v="1"/>
    <x v="4"/>
    <n v="1391"/>
    <n v="1431"/>
    <n v="32"/>
    <x v="265"/>
    <x v="9"/>
    <d v="2024-04-14T00:00:00"/>
    <n v="16.04"/>
    <n v="22311.64"/>
    <s v="UniqloJacket1391143132453914539616.04"/>
    <b v="0"/>
  </r>
  <r>
    <s v="ORD0517"/>
    <x v="3"/>
    <x v="1"/>
    <n v="4924"/>
    <n v="5074"/>
    <n v="310"/>
    <x v="265"/>
    <x v="9"/>
    <d v="2024-04-11T00:00:00"/>
    <n v="17.95"/>
    <n v="88385.8"/>
    <s v="ZaraHoodie49245074310453914539317.95"/>
    <b v="0"/>
  </r>
  <r>
    <s v="ORD0518"/>
    <x v="3"/>
    <x v="1"/>
    <n v="2378"/>
    <n v="2356"/>
    <n v="72"/>
    <x v="266"/>
    <x v="6"/>
    <d v="2024-09-20T00:00:00"/>
    <n v="7.73"/>
    <n v="18381.940000000002"/>
    <s v="ZaraHoodie237823567245554455557.73"/>
    <b v="0"/>
  </r>
  <r>
    <s v="ORD0519"/>
    <x v="4"/>
    <x v="1"/>
    <n v="1439"/>
    <n v="1380"/>
    <n v="82"/>
    <x v="168"/>
    <x v="11"/>
    <d v="2024-12-23T00:00:00"/>
    <n v="8.98"/>
    <n v="12922.220000000001"/>
    <s v="PrimarkHoodie143913808245647456498.98"/>
    <b v="0"/>
  </r>
  <r>
    <s v="ORD0520"/>
    <x v="3"/>
    <x v="0"/>
    <n v="3823"/>
    <n v="3465"/>
    <n v="196"/>
    <x v="261"/>
    <x v="8"/>
    <d v="2024-02-23T00:00:00"/>
    <n v="21.47"/>
    <n v="82079.81"/>
    <s v="ZaraJeans38233465196453454534521.47"/>
    <b v="0"/>
  </r>
  <r>
    <s v="ORD0521"/>
    <x v="2"/>
    <x v="1"/>
    <n v="2600"/>
    <n v="2608"/>
    <n v="70"/>
    <x v="203"/>
    <x v="6"/>
    <d v="2024-09-17T00:00:00"/>
    <n v="23.22"/>
    <n v="60372"/>
    <s v="GapHoodie2600260870455494555223.22"/>
    <b v="0"/>
  </r>
  <r>
    <s v="ORD0522"/>
    <x v="4"/>
    <x v="1"/>
    <n v="4993"/>
    <n v="4803"/>
    <n v="213"/>
    <x v="149"/>
    <x v="7"/>
    <d v="2024-01-18T00:00:00"/>
    <n v="13.09"/>
    <n v="65358.37"/>
    <s v="PrimarkHoodie49934803213453084530913.09"/>
    <b v="0"/>
  </r>
  <r>
    <s v="ORD0523"/>
    <x v="3"/>
    <x v="0"/>
    <n v="3753"/>
    <n v="3527"/>
    <n v="214"/>
    <x v="236"/>
    <x v="10"/>
    <d v="2024-07-06T00:00:00"/>
    <n v="22.55"/>
    <n v="84630.150000000009"/>
    <s v="ZaraJeans37533527214454794547922.55"/>
    <b v="0"/>
  </r>
  <r>
    <s v="ORD0524"/>
    <x v="3"/>
    <x v="2"/>
    <n v="2777"/>
    <n v="2816"/>
    <n v="117"/>
    <x v="257"/>
    <x v="9"/>
    <d v="2024-04-14T00:00:00"/>
    <n v="10.35"/>
    <n v="28741.95"/>
    <s v="ZaraShirt27772816117453954539610.35"/>
    <b v="0"/>
  </r>
  <r>
    <s v="ORD0525"/>
    <x v="2"/>
    <x v="1"/>
    <n v="3245"/>
    <n v="3337"/>
    <n v="167"/>
    <x v="4"/>
    <x v="3"/>
    <d v="2024-06-26T00:00:00"/>
    <n v="6.53"/>
    <n v="21189.850000000002"/>
    <s v="GapHoodie3245333716745466454696.53"/>
    <b v="0"/>
  </r>
  <r>
    <s v="ORD0526"/>
    <x v="4"/>
    <x v="4"/>
    <n v="3292"/>
    <n v="3022"/>
    <n v="86"/>
    <x v="267"/>
    <x v="3"/>
    <d v="2024-06-01T00:00:00"/>
    <n v="5.35"/>
    <n v="17612.199999999997"/>
    <s v="PrimarkJacket329230228645444454445.35"/>
    <b v="0"/>
  </r>
  <r>
    <s v="ORD0527"/>
    <x v="0"/>
    <x v="4"/>
    <n v="4525"/>
    <n v="4224"/>
    <n v="232"/>
    <x v="36"/>
    <x v="10"/>
    <d v="2024-07-26T00:00:00"/>
    <n v="16.41"/>
    <n v="74255.25"/>
    <s v="H&amp;MJacket45254224232454994549916.41"/>
    <b v="0"/>
  </r>
  <r>
    <s v="ORD0528"/>
    <x v="1"/>
    <x v="3"/>
    <n v="1472"/>
    <n v="1539"/>
    <n v="106"/>
    <x v="209"/>
    <x v="11"/>
    <d v="2024-12-03T00:00:00"/>
    <n v="5.47"/>
    <n v="8051.8399999999992"/>
    <s v="UniqloT-shirt1472153910645622456295.47"/>
    <b v="0"/>
  </r>
  <r>
    <s v="ORD0529"/>
    <x v="2"/>
    <x v="2"/>
    <n v="4820"/>
    <n v="4776"/>
    <n v="145"/>
    <x v="3"/>
    <x v="8"/>
    <d v="2024-02-29T00:00:00"/>
    <n v="9.14"/>
    <n v="44054.8"/>
    <s v="GapShirt4820477614545350453519.14"/>
    <b v="0"/>
  </r>
  <r>
    <s v="ORD0530"/>
    <x v="4"/>
    <x v="1"/>
    <n v="694"/>
    <n v="698"/>
    <n v="52"/>
    <x v="237"/>
    <x v="10"/>
    <d v="2024-07-28T00:00:00"/>
    <n v="17.07"/>
    <n v="11846.58"/>
    <s v="PrimarkHoodie69469852454964550117.07"/>
    <b v="0"/>
  </r>
  <r>
    <s v="ORD0531"/>
    <x v="1"/>
    <x v="3"/>
    <n v="1741"/>
    <n v="1718"/>
    <n v="136"/>
    <x v="79"/>
    <x v="4"/>
    <d v="2024-11-14T00:00:00"/>
    <n v="9.7799999999999994"/>
    <n v="17026.98"/>
    <s v="UniqloT-shirt1741171813645603456109.78"/>
    <b v="0"/>
  </r>
  <r>
    <s v="ORD0532"/>
    <x v="0"/>
    <x v="1"/>
    <n v="1479"/>
    <n v="1451"/>
    <n v="112"/>
    <x v="268"/>
    <x v="5"/>
    <d v="2024-08-20T00:00:00"/>
    <n v="6.51"/>
    <n v="9628.2899999999991"/>
    <s v="H&amp;MHoodie1479145111245524455246.51"/>
    <b v="0"/>
  </r>
  <r>
    <s v="ORD0533"/>
    <x v="4"/>
    <x v="3"/>
    <n v="3770"/>
    <n v="3472"/>
    <n v="185"/>
    <x v="176"/>
    <x v="1"/>
    <d v="2024-10-27T00:00:00"/>
    <n v="20.63"/>
    <n v="77775.099999999991"/>
    <s v="PrimarkT-shirt37703472185455924559220.63"/>
    <b v="0"/>
  </r>
  <r>
    <s v="ORD0534"/>
    <x v="0"/>
    <x v="1"/>
    <n v="960"/>
    <n v="980"/>
    <n v="53"/>
    <x v="118"/>
    <x v="4"/>
    <d v="2024-11-16T00:00:00"/>
    <n v="12.76"/>
    <n v="12249.6"/>
    <s v="H&amp;MHoodie96098053456124561212.76"/>
    <b v="0"/>
  </r>
  <r>
    <s v="ORD0535"/>
    <x v="2"/>
    <x v="3"/>
    <n v="3673"/>
    <n v="3465"/>
    <n v="148"/>
    <x v="269"/>
    <x v="3"/>
    <d v="2024-06-22T00:00:00"/>
    <n v="22.8"/>
    <n v="83744.400000000009"/>
    <s v="GapT-shirt36733465148454654546522.8"/>
    <b v="0"/>
  </r>
  <r>
    <s v="ORD0536"/>
    <x v="3"/>
    <x v="1"/>
    <n v="3341"/>
    <n v="3080"/>
    <n v="32"/>
    <x v="270"/>
    <x v="6"/>
    <d v="2024-09-07T00:00:00"/>
    <n v="17.62"/>
    <n v="58868.420000000006"/>
    <s v="ZaraHoodie3341308032455394554217.62"/>
    <b v="0"/>
  </r>
  <r>
    <s v="ORD0537"/>
    <x v="1"/>
    <x v="3"/>
    <n v="2196"/>
    <n v="2291"/>
    <n v="107"/>
    <x v="162"/>
    <x v="2"/>
    <d v="2024-03-01T00:00:00"/>
    <n v="9.84"/>
    <n v="21608.639999999999"/>
    <s v="UniqloT-shirt2196229110745352453529.84"/>
    <b v="0"/>
  </r>
  <r>
    <s v="ORD0538"/>
    <x v="4"/>
    <x v="1"/>
    <n v="3000"/>
    <n v="2979"/>
    <n v="223"/>
    <x v="142"/>
    <x v="2"/>
    <d v="2024-03-18T00:00:00"/>
    <n v="20.22"/>
    <n v="60660"/>
    <s v="PrimarkHoodie30002979223453694536920.22"/>
    <b v="0"/>
  </r>
  <r>
    <s v="ORD0539"/>
    <x v="0"/>
    <x v="1"/>
    <n v="2849"/>
    <n v="2749"/>
    <n v="35"/>
    <x v="63"/>
    <x v="9"/>
    <d v="2024-04-09T00:00:00"/>
    <n v="8.31"/>
    <n v="23675.190000000002"/>
    <s v="H&amp;MHoodie284927493545384453918.31"/>
    <b v="0"/>
  </r>
  <r>
    <s v="ORD0540"/>
    <x v="1"/>
    <x v="2"/>
    <n v="3999"/>
    <n v="4137"/>
    <n v="236"/>
    <x v="209"/>
    <x v="4"/>
    <d v="2024-11-28T00:00:00"/>
    <n v="7.74"/>
    <n v="30952.260000000002"/>
    <s v="UniqloShirt3999413723645622456247.74"/>
    <b v="0"/>
  </r>
  <r>
    <s v="ORD0541"/>
    <x v="3"/>
    <x v="3"/>
    <n v="2046"/>
    <n v="1961"/>
    <n v="110"/>
    <x v="163"/>
    <x v="2"/>
    <d v="2024-03-08T00:00:00"/>
    <n v="7.18"/>
    <n v="14690.279999999999"/>
    <s v="ZaraT-shirt2046196111045359453597.18"/>
    <b v="0"/>
  </r>
  <r>
    <s v="ORD0542"/>
    <x v="0"/>
    <x v="3"/>
    <n v="1775"/>
    <n v="1862"/>
    <n v="111"/>
    <x v="271"/>
    <x v="4"/>
    <d v="2024-11-27T00:00:00"/>
    <n v="24.62"/>
    <n v="43700.5"/>
    <s v="H&amp;MT-shirt17751862111456234562324.62"/>
    <b v="0"/>
  </r>
  <r>
    <s v="ORD0543"/>
    <x v="4"/>
    <x v="4"/>
    <n v="856"/>
    <n v="826"/>
    <n v="42"/>
    <x v="179"/>
    <x v="3"/>
    <d v="2024-06-05T00:00:00"/>
    <n v="6.46"/>
    <n v="5529.76"/>
    <s v="PrimarkJacket8568264245445454486.46"/>
    <b v="0"/>
  </r>
  <r>
    <s v="ORD0544"/>
    <x v="3"/>
    <x v="1"/>
    <n v="1783"/>
    <n v="1826"/>
    <n v="111"/>
    <x v="231"/>
    <x v="6"/>
    <d v="2024-09-29T00:00:00"/>
    <n v="12.1"/>
    <n v="21574.3"/>
    <s v="ZaraHoodie17831826111455644556412.1"/>
    <b v="0"/>
  </r>
  <r>
    <s v="ORD0545"/>
    <x v="0"/>
    <x v="1"/>
    <n v="744"/>
    <n v="775"/>
    <n v="60"/>
    <x v="272"/>
    <x v="12"/>
    <d v="2025-01-03T00:00:00"/>
    <n v="12.86"/>
    <n v="9567.84"/>
    <s v="H&amp;MHoodie74477560456534566012.86"/>
    <b v="0"/>
  </r>
  <r>
    <s v="ORD0546"/>
    <x v="1"/>
    <x v="0"/>
    <n v="3025"/>
    <n v="3048"/>
    <n v="83"/>
    <x v="200"/>
    <x v="8"/>
    <d v="2024-02-08T00:00:00"/>
    <n v="17.809999999999999"/>
    <n v="53875.249999999993"/>
    <s v="UniqloJeans3025304883453304533017.81"/>
    <b v="0"/>
  </r>
  <r>
    <s v="ORD0547"/>
    <x v="4"/>
    <x v="1"/>
    <n v="4782"/>
    <n v="4992"/>
    <n v="316"/>
    <x v="273"/>
    <x v="8"/>
    <d v="2024-02-13T00:00:00"/>
    <n v="22.1"/>
    <n v="105682.20000000001"/>
    <s v="PrimarkHoodie47824992316453354533522.1"/>
    <b v="0"/>
  </r>
  <r>
    <s v="ORD0548"/>
    <x v="1"/>
    <x v="3"/>
    <n v="2968"/>
    <n v="2675"/>
    <n v="93"/>
    <x v="223"/>
    <x v="6"/>
    <d v="2024-09-11T00:00:00"/>
    <n v="23.52"/>
    <n v="69807.360000000001"/>
    <s v="UniqloT-shirt2968267593455464554623.52"/>
    <b v="0"/>
  </r>
  <r>
    <s v="ORD0549"/>
    <x v="4"/>
    <x v="0"/>
    <n v="2717"/>
    <n v="2576"/>
    <n v="178"/>
    <x v="274"/>
    <x v="9"/>
    <d v="2024-04-03T00:00:00"/>
    <n v="19.579999999999998"/>
    <n v="53198.859999999993"/>
    <s v="PrimarkJeans27172576178453824538519.58"/>
    <b v="0"/>
  </r>
  <r>
    <s v="ORD0550"/>
    <x v="0"/>
    <x v="1"/>
    <n v="3160"/>
    <n v="2960"/>
    <n v="113"/>
    <x v="77"/>
    <x v="3"/>
    <d v="2024-06-21T00:00:00"/>
    <n v="22.89"/>
    <n v="72332.400000000009"/>
    <s v="H&amp;MHoodie31602960113454644546422.89"/>
    <b v="0"/>
  </r>
  <r>
    <s v="ORD0551"/>
    <x v="2"/>
    <x v="2"/>
    <n v="3287"/>
    <n v="3100"/>
    <n v="117"/>
    <x v="13"/>
    <x v="0"/>
    <d v="2024-05-15T00:00:00"/>
    <n v="23.39"/>
    <n v="76882.930000000008"/>
    <s v="GapShirt32873100117454204542723.39"/>
    <b v="0"/>
  </r>
  <r>
    <s v="ORD0552"/>
    <x v="2"/>
    <x v="1"/>
    <n v="1100"/>
    <n v="1115"/>
    <n v="40"/>
    <x v="175"/>
    <x v="9"/>
    <d v="2024-04-29T00:00:00"/>
    <n v="12.85"/>
    <n v="14135"/>
    <s v="GapHoodie1100111540454084541112.85"/>
    <b v="0"/>
  </r>
  <r>
    <s v="ORD0553"/>
    <x v="2"/>
    <x v="1"/>
    <n v="4196"/>
    <n v="4056"/>
    <n v="118"/>
    <x v="77"/>
    <x v="3"/>
    <d v="2024-06-22T00:00:00"/>
    <n v="17.440000000000001"/>
    <n v="73178.240000000005"/>
    <s v="GapHoodie41964056118454644546517.44"/>
    <b v="0"/>
  </r>
  <r>
    <s v="ORD0554"/>
    <x v="3"/>
    <x v="3"/>
    <n v="2503"/>
    <n v="2468"/>
    <n v="96"/>
    <x v="132"/>
    <x v="6"/>
    <d v="2024-09-13T00:00:00"/>
    <n v="21.95"/>
    <n v="54940.85"/>
    <s v="ZaraT-shirt2503246896455484554821.95"/>
    <b v="0"/>
  </r>
  <r>
    <s v="ORD0555"/>
    <x v="4"/>
    <x v="1"/>
    <n v="653"/>
    <n v="677"/>
    <n v="11"/>
    <x v="227"/>
    <x v="10"/>
    <d v="2024-07-21T00:00:00"/>
    <n v="15.12"/>
    <n v="9873.3599999999988"/>
    <s v="PrimarkHoodie65367711454944549415.12"/>
    <b v="0"/>
  </r>
  <r>
    <s v="ORD0556"/>
    <x v="3"/>
    <x v="4"/>
    <n v="4700"/>
    <n v="4391"/>
    <n v="337"/>
    <x v="11"/>
    <x v="5"/>
    <d v="2024-08-24T00:00:00"/>
    <n v="7.96"/>
    <n v="37412"/>
    <s v="ZaraJacket4700439133745528455287.96"/>
    <b v="0"/>
  </r>
  <r>
    <s v="ORD0557"/>
    <x v="1"/>
    <x v="0"/>
    <n v="3280"/>
    <n v="3164"/>
    <n v="190"/>
    <x v="226"/>
    <x v="0"/>
    <d v="2024-05-28T00:00:00"/>
    <n v="16.27"/>
    <n v="53365.599999999999"/>
    <s v="UniqloJeans32803164190454404544016.27"/>
    <b v="0"/>
  </r>
  <r>
    <s v="ORD0558"/>
    <x v="2"/>
    <x v="1"/>
    <n v="3135"/>
    <n v="3178"/>
    <n v="94"/>
    <x v="80"/>
    <x v="4"/>
    <d v="2024-11-03T00:00:00"/>
    <n v="12.06"/>
    <n v="37808.1"/>
    <s v="GapHoodie3135317894455944559912.06"/>
    <b v="0"/>
  </r>
  <r>
    <s v="ORD0559"/>
    <x v="4"/>
    <x v="1"/>
    <n v="2679"/>
    <n v="2741"/>
    <n v="197"/>
    <x v="107"/>
    <x v="9"/>
    <d v="2024-04-20T00:00:00"/>
    <n v="15.89"/>
    <n v="42569.310000000005"/>
    <s v="PrimarkHoodie26792741197454004540215.89"/>
    <b v="0"/>
  </r>
  <r>
    <s v="ORD0560"/>
    <x v="3"/>
    <x v="1"/>
    <n v="4475"/>
    <n v="4152"/>
    <n v="137"/>
    <x v="130"/>
    <x v="4"/>
    <d v="2024-11-19T00:00:00"/>
    <n v="22.1"/>
    <n v="98897.5"/>
    <s v="ZaraHoodie44754152137456154561522.1"/>
    <b v="0"/>
  </r>
  <r>
    <s v="ORD0561"/>
    <x v="4"/>
    <x v="0"/>
    <n v="770"/>
    <n v="794"/>
    <n v="33"/>
    <x v="39"/>
    <x v="1"/>
    <d v="2024-10-16T00:00:00"/>
    <n v="6.9"/>
    <n v="5313"/>
    <s v="PrimarkJeans7707943345574455816.9"/>
    <b v="0"/>
  </r>
  <r>
    <s v="ORD0562"/>
    <x v="4"/>
    <x v="4"/>
    <n v="4107"/>
    <n v="3913"/>
    <n v="265"/>
    <x v="275"/>
    <x v="10"/>
    <d v="2024-07-06T00:00:00"/>
    <n v="15.31"/>
    <n v="62878.170000000006"/>
    <s v="PrimarkJacket41073913265454724547915.31"/>
    <b v="0"/>
  </r>
  <r>
    <s v="ORD0563"/>
    <x v="2"/>
    <x v="2"/>
    <n v="778"/>
    <n v="808"/>
    <n v="30"/>
    <x v="276"/>
    <x v="3"/>
    <d v="2024-06-17T00:00:00"/>
    <n v="15.93"/>
    <n v="12393.539999999999"/>
    <s v="GapShirt77880830454604546015.93"/>
    <b v="0"/>
  </r>
  <r>
    <s v="ORD0564"/>
    <x v="4"/>
    <x v="3"/>
    <n v="4332"/>
    <n v="3938"/>
    <n v="139"/>
    <x v="167"/>
    <x v="3"/>
    <d v="2024-06-21T00:00:00"/>
    <n v="19.46"/>
    <n v="84300.72"/>
    <s v="PrimarkT-shirt43323938139454594546419.46"/>
    <b v="0"/>
  </r>
  <r>
    <s v="ORD0565"/>
    <x v="2"/>
    <x v="2"/>
    <n v="3656"/>
    <n v="3457"/>
    <n v="90"/>
    <x v="80"/>
    <x v="1"/>
    <d v="2024-10-30T00:00:00"/>
    <n v="5.03"/>
    <n v="18389.68"/>
    <s v="GapShirt365634579045594455955.03"/>
    <b v="0"/>
  </r>
  <r>
    <s v="ORD0566"/>
    <x v="1"/>
    <x v="0"/>
    <n v="4559"/>
    <n v="4315"/>
    <n v="264"/>
    <x v="276"/>
    <x v="3"/>
    <d v="2024-06-19T00:00:00"/>
    <n v="17.809999999999999"/>
    <n v="81195.789999999994"/>
    <s v="UniqloJeans45594315264454604546217.81"/>
    <b v="0"/>
  </r>
  <r>
    <s v="ORD0567"/>
    <x v="0"/>
    <x v="0"/>
    <n v="3914"/>
    <n v="3880"/>
    <n v="282"/>
    <x v="34"/>
    <x v="9"/>
    <d v="2024-04-21T00:00:00"/>
    <n v="21.36"/>
    <n v="83603.039999999994"/>
    <s v="H&amp;MJeans39143880282454034540321.36"/>
    <b v="0"/>
  </r>
  <r>
    <s v="ORD0568"/>
    <x v="2"/>
    <x v="2"/>
    <n v="705"/>
    <n v="647"/>
    <n v="21"/>
    <x v="127"/>
    <x v="5"/>
    <d v="2024-08-20T00:00:00"/>
    <n v="24.99"/>
    <n v="17617.949999999997"/>
    <s v="GapShirt70564721455194552424.99"/>
    <b v="0"/>
  </r>
  <r>
    <s v="ORD0569"/>
    <x v="0"/>
    <x v="2"/>
    <n v="4099"/>
    <n v="4152"/>
    <n v="155"/>
    <x v="277"/>
    <x v="6"/>
    <d v="2024-09-04T00:00:00"/>
    <n v="16.809999999999999"/>
    <n v="68904.189999999988"/>
    <s v="H&amp;MShirt40994152155455324553916.81"/>
    <b v="0"/>
  </r>
  <r>
    <s v="ORD0570"/>
    <x v="3"/>
    <x v="1"/>
    <n v="4142"/>
    <n v="3985"/>
    <n v="250"/>
    <x v="253"/>
    <x v="3"/>
    <d v="2024-06-15T00:00:00"/>
    <n v="5.41"/>
    <n v="22408.22"/>
    <s v="ZaraHoodie4142398525045453454585.41"/>
    <b v="0"/>
  </r>
  <r>
    <s v="ORD0571"/>
    <x v="4"/>
    <x v="3"/>
    <n v="4849"/>
    <n v="4788"/>
    <n v="367"/>
    <x v="231"/>
    <x v="6"/>
    <d v="2024-09-30T00:00:00"/>
    <n v="5.85"/>
    <n v="28366.649999999998"/>
    <s v="PrimarkT-shirt4849478836745564455655.85"/>
    <b v="0"/>
  </r>
  <r>
    <s v="ORD0572"/>
    <x v="0"/>
    <x v="3"/>
    <n v="652"/>
    <n v="599"/>
    <n v="29"/>
    <x v="278"/>
    <x v="10"/>
    <d v="2024-07-09T00:00:00"/>
    <n v="20.61"/>
    <n v="13437.72"/>
    <s v="H&amp;MT-shirt65259929454824548220.61"/>
    <b v="0"/>
  </r>
  <r>
    <s v="ORD0573"/>
    <x v="3"/>
    <x v="1"/>
    <n v="3110"/>
    <n v="2971"/>
    <n v="223"/>
    <x v="257"/>
    <x v="9"/>
    <d v="2024-04-18T00:00:00"/>
    <n v="21.55"/>
    <n v="67020.5"/>
    <s v="ZaraHoodie31102971223453954540021.55"/>
    <b v="0"/>
  </r>
  <r>
    <s v="ORD0574"/>
    <x v="3"/>
    <x v="4"/>
    <n v="3994"/>
    <n v="3871"/>
    <n v="288"/>
    <x v="204"/>
    <x v="3"/>
    <d v="2024-06-17T00:00:00"/>
    <n v="18.89"/>
    <n v="75446.66"/>
    <s v="ZaraJacket39943871288454584546018.89"/>
    <b v="0"/>
  </r>
  <r>
    <s v="ORD0575"/>
    <x v="2"/>
    <x v="2"/>
    <n v="2161"/>
    <n v="2056"/>
    <n v="25"/>
    <x v="100"/>
    <x v="2"/>
    <d v="2024-03-15T00:00:00"/>
    <n v="6.04"/>
    <n v="13052.44"/>
    <s v="GapShirt216120562545364453666.04"/>
    <b v="0"/>
  </r>
  <r>
    <s v="ORD0576"/>
    <x v="0"/>
    <x v="3"/>
    <n v="4857"/>
    <n v="4855"/>
    <n v="102"/>
    <x v="137"/>
    <x v="8"/>
    <d v="2024-02-19T00:00:00"/>
    <n v="7.38"/>
    <n v="35844.659999999996"/>
    <s v="H&amp;MT-shirt4857485510245340453417.38"/>
    <b v="0"/>
  </r>
  <r>
    <s v="ORD0577"/>
    <x v="4"/>
    <x v="2"/>
    <n v="2403"/>
    <n v="2365"/>
    <n v="180"/>
    <x v="10"/>
    <x v="6"/>
    <d v="2024-09-28T00:00:00"/>
    <n v="14.93"/>
    <n v="35876.79"/>
    <s v="PrimarkShirt24032365180455624556314.93"/>
    <b v="0"/>
  </r>
  <r>
    <s v="ORD0578"/>
    <x v="4"/>
    <x v="0"/>
    <n v="2067"/>
    <n v="1980"/>
    <n v="145"/>
    <x v="279"/>
    <x v="8"/>
    <d v="2024-02-13T00:00:00"/>
    <n v="5.32"/>
    <n v="10996.44"/>
    <s v="PrimarkJeans2067198014545334453355.32"/>
    <b v="0"/>
  </r>
  <r>
    <s v="ORD0579"/>
    <x v="0"/>
    <x v="4"/>
    <n v="3990"/>
    <n v="3597"/>
    <n v="213"/>
    <x v="280"/>
    <x v="10"/>
    <d v="2024-07-12T00:00:00"/>
    <n v="24.41"/>
    <n v="97395.9"/>
    <s v="H&amp;MJacket39903597213454804548524.41"/>
    <b v="0"/>
  </r>
  <r>
    <s v="ORD0580"/>
    <x v="1"/>
    <x v="2"/>
    <n v="3886"/>
    <n v="3789"/>
    <n v="225"/>
    <x v="167"/>
    <x v="3"/>
    <d v="2024-06-16T00:00:00"/>
    <n v="15.69"/>
    <n v="60971.34"/>
    <s v="UniqloShirt38863789225454594545915.69"/>
    <b v="0"/>
  </r>
  <r>
    <s v="ORD0581"/>
    <x v="4"/>
    <x v="1"/>
    <n v="2740"/>
    <n v="2592"/>
    <n v="113"/>
    <x v="281"/>
    <x v="6"/>
    <d v="2024-09-03T00:00:00"/>
    <n v="7.37"/>
    <n v="20193.8"/>
    <s v="PrimarkHoodie2740259211345531455387.37"/>
    <b v="0"/>
  </r>
  <r>
    <s v="ORD0582"/>
    <x v="1"/>
    <x v="4"/>
    <n v="1158"/>
    <n v="1111"/>
    <n v="21"/>
    <x v="31"/>
    <x v="3"/>
    <d v="2024-06-01T00:00:00"/>
    <n v="22.31"/>
    <n v="25834.98"/>
    <s v="UniqloJacket1158111121454394544422.31"/>
    <b v="0"/>
  </r>
  <r>
    <s v="ORD0583"/>
    <x v="2"/>
    <x v="3"/>
    <n v="951"/>
    <n v="945"/>
    <n v="30"/>
    <x v="94"/>
    <x v="4"/>
    <d v="2024-11-10T00:00:00"/>
    <n v="21.33"/>
    <n v="20284.829999999998"/>
    <s v="GapT-shirt95194530456044560621.33"/>
    <b v="0"/>
  </r>
  <r>
    <s v="ORD0584"/>
    <x v="2"/>
    <x v="2"/>
    <n v="3066"/>
    <n v="2903"/>
    <n v="219"/>
    <x v="282"/>
    <x v="2"/>
    <d v="2024-03-23T00:00:00"/>
    <n v="22.01"/>
    <n v="67482.66"/>
    <s v="GapShirt30662903219453744537422.01"/>
    <b v="0"/>
  </r>
  <r>
    <s v="ORD0585"/>
    <x v="4"/>
    <x v="4"/>
    <n v="612"/>
    <n v="552"/>
    <n v="20"/>
    <x v="115"/>
    <x v="0"/>
    <d v="2024-05-19T00:00:00"/>
    <n v="8.83"/>
    <n v="5403.96"/>
    <s v="PrimarkJacket6125522045431454318.83"/>
    <b v="0"/>
  </r>
  <r>
    <s v="ORD0586"/>
    <x v="2"/>
    <x v="3"/>
    <n v="3449"/>
    <n v="3276"/>
    <n v="200"/>
    <x v="283"/>
    <x v="0"/>
    <d v="2024-05-04T00:00:00"/>
    <n v="13.09"/>
    <n v="45147.409999999996"/>
    <s v="GapT-shirt34493276200454094541613.09"/>
    <b v="0"/>
  </r>
  <r>
    <s v="ORD0587"/>
    <x v="1"/>
    <x v="3"/>
    <n v="3604"/>
    <n v="3398"/>
    <n v="136"/>
    <x v="89"/>
    <x v="10"/>
    <d v="2024-07-15T00:00:00"/>
    <n v="18.71"/>
    <n v="67430.84"/>
    <s v="UniqloT-shirt36043398136454884548818.71"/>
    <b v="0"/>
  </r>
  <r>
    <s v="ORD0588"/>
    <x v="4"/>
    <x v="1"/>
    <n v="1973"/>
    <n v="1836"/>
    <n v="67"/>
    <x v="246"/>
    <x v="2"/>
    <d v="2024-03-27T00:00:00"/>
    <n v="24.64"/>
    <n v="48614.720000000001"/>
    <s v="PrimarkHoodie1973183667453754537824.64"/>
    <b v="0"/>
  </r>
  <r>
    <s v="ORD0589"/>
    <x v="2"/>
    <x v="1"/>
    <n v="2938"/>
    <n v="2922"/>
    <n v="69"/>
    <x v="178"/>
    <x v="4"/>
    <d v="2024-11-07T00:00:00"/>
    <n v="13.37"/>
    <n v="39281.06"/>
    <s v="GapHoodie2938292269456014560313.37"/>
    <b v="0"/>
  </r>
  <r>
    <s v="ORD0590"/>
    <x v="2"/>
    <x v="3"/>
    <n v="3261"/>
    <n v="3382"/>
    <n v="36"/>
    <x v="105"/>
    <x v="10"/>
    <d v="2024-07-20T00:00:00"/>
    <n v="14"/>
    <n v="45654"/>
    <s v="GapT-shirt3261338236454934549314"/>
    <b v="0"/>
  </r>
  <r>
    <s v="ORD0591"/>
    <x v="3"/>
    <x v="2"/>
    <n v="2869"/>
    <n v="2999"/>
    <n v="53"/>
    <x v="86"/>
    <x v="2"/>
    <d v="2024-03-22T00:00:00"/>
    <n v="13.07"/>
    <n v="37497.83"/>
    <s v="ZaraShirt2869299953453734537313.07"/>
    <b v="0"/>
  </r>
  <r>
    <s v="ORD0592"/>
    <x v="0"/>
    <x v="3"/>
    <n v="4302"/>
    <n v="4207"/>
    <n v="63"/>
    <x v="88"/>
    <x v="9"/>
    <d v="2024-04-07T00:00:00"/>
    <n v="17.11"/>
    <n v="73607.22"/>
    <s v="H&amp;MT-shirt4302420763453894538917.11"/>
    <b v="0"/>
  </r>
  <r>
    <s v="ORD0593"/>
    <x v="2"/>
    <x v="2"/>
    <n v="707"/>
    <n v="703"/>
    <n v="34"/>
    <x v="179"/>
    <x v="3"/>
    <d v="2024-06-02T00:00:00"/>
    <n v="18.8"/>
    <n v="13291.6"/>
    <s v="GapShirt70770334454454544518.8"/>
    <b v="0"/>
  </r>
  <r>
    <s v="ORD0594"/>
    <x v="1"/>
    <x v="2"/>
    <n v="3866"/>
    <n v="3579"/>
    <n v="267"/>
    <x v="12"/>
    <x v="8"/>
    <d v="2024-02-13T00:00:00"/>
    <n v="6.37"/>
    <n v="24626.420000000002"/>
    <s v="UniqloShirt3866357926745332453356.37"/>
    <b v="0"/>
  </r>
  <r>
    <s v="ORD0595"/>
    <x v="4"/>
    <x v="2"/>
    <n v="2695"/>
    <n v="2667"/>
    <n v="143"/>
    <x v="124"/>
    <x v="4"/>
    <d v="2024-11-04T00:00:00"/>
    <n v="17.97"/>
    <n v="48429.149999999994"/>
    <s v="PrimarkShirt26952667143456004560017.97"/>
    <b v="0"/>
  </r>
  <r>
    <s v="ORD0596"/>
    <x v="4"/>
    <x v="1"/>
    <n v="2242"/>
    <n v="2207"/>
    <n v="91"/>
    <x v="114"/>
    <x v="4"/>
    <d v="2024-11-21T00:00:00"/>
    <n v="18.440000000000001"/>
    <n v="41342.480000000003"/>
    <s v="PrimarkHoodie2242220791456174561718.44"/>
    <b v="0"/>
  </r>
  <r>
    <s v="ORD0597"/>
    <x v="3"/>
    <x v="0"/>
    <n v="4695"/>
    <n v="4401"/>
    <n v="44"/>
    <x v="282"/>
    <x v="2"/>
    <d v="2024-03-23T00:00:00"/>
    <n v="8.48"/>
    <n v="39813.599999999999"/>
    <s v="ZaraJeans469544014445374453748.48"/>
    <b v="0"/>
  </r>
  <r>
    <s v="ORD0598"/>
    <x v="4"/>
    <x v="1"/>
    <n v="3494"/>
    <n v="3607"/>
    <n v="87"/>
    <x v="88"/>
    <x v="9"/>
    <d v="2024-04-10T00:00:00"/>
    <n v="16.75"/>
    <n v="58524.5"/>
    <s v="PrimarkHoodie3494360787453894539216.75"/>
    <b v="0"/>
  </r>
  <r>
    <s v="ORD0599"/>
    <x v="2"/>
    <x v="2"/>
    <n v="4620"/>
    <n v="4192"/>
    <n v="226"/>
    <x v="171"/>
    <x v="7"/>
    <d v="2024-01-07T00:00:00"/>
    <n v="12.71"/>
    <n v="58720.200000000004"/>
    <s v="GapShirt46204192226452984529812.71"/>
    <b v="0"/>
  </r>
  <r>
    <s v="ORD0600"/>
    <x v="3"/>
    <x v="1"/>
    <n v="582"/>
    <n v="607"/>
    <n v="23"/>
    <x v="284"/>
    <x v="9"/>
    <d v="2024-04-22T00:00:00"/>
    <n v="21.8"/>
    <n v="12687.6"/>
    <s v="ZaraHoodie58260723453974540421.8"/>
    <b v="0"/>
  </r>
  <r>
    <s v="ORD0601"/>
    <x v="3"/>
    <x v="4"/>
    <n v="675"/>
    <n v="674"/>
    <n v="30"/>
    <x v="285"/>
    <x v="3"/>
    <d v="2024-06-26T00:00:00"/>
    <n v="19.86"/>
    <n v="13405.5"/>
    <s v="ZaraJacket67567430454694546919.86"/>
    <b v="0"/>
  </r>
  <r>
    <s v="ORD0602"/>
    <x v="1"/>
    <x v="0"/>
    <n v="2279"/>
    <n v="2306"/>
    <n v="170"/>
    <x v="10"/>
    <x v="6"/>
    <d v="2024-09-28T00:00:00"/>
    <n v="13.68"/>
    <n v="31176.720000000001"/>
    <s v="UniqloJeans22792306170455624556313.68"/>
    <b v="0"/>
  </r>
  <r>
    <s v="ORD0603"/>
    <x v="3"/>
    <x v="1"/>
    <n v="4176"/>
    <n v="4079"/>
    <n v="165"/>
    <x v="286"/>
    <x v="11"/>
    <d v="2024-12-13T00:00:00"/>
    <n v="24.93"/>
    <n v="104107.68"/>
    <s v="ZaraHoodie41764079165456394563924.93"/>
    <b v="0"/>
  </r>
  <r>
    <s v="ORD0604"/>
    <x v="0"/>
    <x v="0"/>
    <n v="4638"/>
    <n v="4617"/>
    <n v="124"/>
    <x v="167"/>
    <x v="3"/>
    <d v="2024-06-21T00:00:00"/>
    <n v="19.28"/>
    <n v="89420.64"/>
    <s v="H&amp;MJeans46384617124454594546419.28"/>
    <b v="0"/>
  </r>
  <r>
    <s v="ORD0605"/>
    <x v="0"/>
    <x v="0"/>
    <n v="868"/>
    <n v="887"/>
    <n v="11"/>
    <x v="133"/>
    <x v="2"/>
    <d v="2024-03-03T00:00:00"/>
    <n v="23.23"/>
    <n v="20163.64"/>
    <s v="H&amp;MJeans86888711453544535423.23"/>
    <b v="0"/>
  </r>
  <r>
    <s v="ORD0606"/>
    <x v="3"/>
    <x v="2"/>
    <n v="4664"/>
    <n v="4251"/>
    <n v="313"/>
    <x v="53"/>
    <x v="4"/>
    <d v="2024-11-13T00:00:00"/>
    <n v="12.1"/>
    <n v="56434.400000000001"/>
    <s v="ZaraShirt46644251313456094560912.1"/>
    <b v="0"/>
  </r>
  <r>
    <s v="ORD0607"/>
    <x v="2"/>
    <x v="1"/>
    <n v="1684"/>
    <n v="1685"/>
    <n v="26"/>
    <x v="287"/>
    <x v="0"/>
    <d v="2024-05-17T00:00:00"/>
    <n v="24.03"/>
    <n v="40466.520000000004"/>
    <s v="GapHoodie1684168526454294542924.03"/>
    <b v="0"/>
  </r>
  <r>
    <s v="ORD0608"/>
    <x v="4"/>
    <x v="3"/>
    <n v="2073"/>
    <n v="1984"/>
    <n v="88"/>
    <x v="269"/>
    <x v="3"/>
    <d v="2024-06-22T00:00:00"/>
    <n v="10.67"/>
    <n v="22118.91"/>
    <s v="PrimarkT-shirt2073198488454654546510.67"/>
    <b v="0"/>
  </r>
  <r>
    <s v="ORD0609"/>
    <x v="3"/>
    <x v="3"/>
    <n v="2493"/>
    <n v="2435"/>
    <n v="67"/>
    <x v="7"/>
    <x v="6"/>
    <d v="2024-09-20T00:00:00"/>
    <n v="24.75"/>
    <n v="61701.75"/>
    <s v="ZaraT-shirt2493243567455554555524.75"/>
    <b v="0"/>
  </r>
  <r>
    <s v="ORD0610"/>
    <x v="3"/>
    <x v="2"/>
    <n v="993"/>
    <n v="948"/>
    <n v="70"/>
    <x v="185"/>
    <x v="11"/>
    <d v="2024-12-15T00:00:00"/>
    <n v="16.690000000000001"/>
    <n v="16573.170000000002"/>
    <s v="ZaraShirt99394870456364564116.69"/>
    <b v="0"/>
  </r>
  <r>
    <s v="ORD0611"/>
    <x v="3"/>
    <x v="1"/>
    <n v="4527"/>
    <n v="4324"/>
    <n v="314"/>
    <x v="288"/>
    <x v="8"/>
    <d v="2024-02-25T00:00:00"/>
    <n v="18.329999999999998"/>
    <n v="82979.909999999989"/>
    <s v="ZaraHoodie45274324314453474534718.33"/>
    <b v="0"/>
  </r>
  <r>
    <s v="ORD0612"/>
    <x v="1"/>
    <x v="0"/>
    <n v="3317"/>
    <n v="3298"/>
    <n v="90"/>
    <x v="167"/>
    <x v="3"/>
    <d v="2024-06-17T00:00:00"/>
    <n v="19.11"/>
    <n v="63387.869999999995"/>
    <s v="UniqloJeans3317329890454594546019.11"/>
    <b v="0"/>
  </r>
  <r>
    <s v="ORD0613"/>
    <x v="0"/>
    <x v="1"/>
    <n v="4197"/>
    <n v="4186"/>
    <n v="316"/>
    <x v="289"/>
    <x v="11"/>
    <d v="2024-12-24T00:00:00"/>
    <n v="6.28"/>
    <n v="26357.16"/>
    <s v="H&amp;MHoodie4197418631645645456506.28"/>
    <b v="0"/>
  </r>
  <r>
    <s v="ORD0614"/>
    <x v="2"/>
    <x v="2"/>
    <n v="3059"/>
    <n v="2956"/>
    <n v="34"/>
    <x v="290"/>
    <x v="6"/>
    <d v="2024-09-17T00:00:00"/>
    <n v="11.02"/>
    <n v="33710.18"/>
    <s v="GapShirt3059295634455474555211.02"/>
    <b v="0"/>
  </r>
  <r>
    <s v="ORD0615"/>
    <x v="4"/>
    <x v="0"/>
    <n v="4144"/>
    <n v="4021"/>
    <n v="48"/>
    <x v="13"/>
    <x v="0"/>
    <d v="2024-05-13T00:00:00"/>
    <n v="9.1999999999999993"/>
    <n v="38124.799999999996"/>
    <s v="PrimarkJeans414440214845420454259.2"/>
    <b v="0"/>
  </r>
  <r>
    <s v="ORD0616"/>
    <x v="1"/>
    <x v="3"/>
    <n v="3574"/>
    <n v="3436"/>
    <n v="191"/>
    <x v="249"/>
    <x v="8"/>
    <d v="2024-02-09T00:00:00"/>
    <n v="10.199999999999999"/>
    <n v="36454.799999999996"/>
    <s v="UniqloT-shirt35743436191453294533110.2"/>
    <b v="0"/>
  </r>
  <r>
    <s v="ORD0617"/>
    <x v="1"/>
    <x v="2"/>
    <n v="1424"/>
    <n v="1296"/>
    <n v="29"/>
    <x v="107"/>
    <x v="9"/>
    <d v="2024-04-23T00:00:00"/>
    <n v="18.28"/>
    <n v="26030.720000000001"/>
    <s v="UniqloShirt1424129629454004540518.28"/>
    <b v="0"/>
  </r>
  <r>
    <s v="ORD0618"/>
    <x v="2"/>
    <x v="3"/>
    <n v="1302"/>
    <n v="1329"/>
    <n v="14"/>
    <x v="39"/>
    <x v="1"/>
    <d v="2024-10-16T00:00:00"/>
    <n v="23.49"/>
    <n v="30583.98"/>
    <s v="GapT-shirt1302132914455744558123.49"/>
    <b v="0"/>
  </r>
  <r>
    <s v="ORD0619"/>
    <x v="0"/>
    <x v="4"/>
    <n v="4106"/>
    <n v="3852"/>
    <n v="238"/>
    <x v="169"/>
    <x v="11"/>
    <d v="2024-12-09T00:00:00"/>
    <n v="6.53"/>
    <n v="26812.18"/>
    <s v="H&amp;MJacket4106385223845635456356.53"/>
    <b v="0"/>
  </r>
  <r>
    <s v="ORD0620"/>
    <x v="0"/>
    <x v="0"/>
    <n v="3091"/>
    <n v="3157"/>
    <n v="205"/>
    <x v="87"/>
    <x v="3"/>
    <d v="2024-06-25T00:00:00"/>
    <n v="17.64"/>
    <n v="54525.240000000005"/>
    <s v="H&amp;MJeans30913157205454684546817.64"/>
    <b v="0"/>
  </r>
  <r>
    <s v="ORD0621"/>
    <x v="1"/>
    <x v="4"/>
    <n v="4909"/>
    <n v="5111"/>
    <n v="364"/>
    <x v="120"/>
    <x v="0"/>
    <d v="2024-05-19T00:00:00"/>
    <n v="7.05"/>
    <n v="34608.449999999997"/>
    <s v="UniqloJacket4909511136445428454317.05"/>
    <b v="0"/>
  </r>
  <r>
    <s v="ORD0622"/>
    <x v="4"/>
    <x v="0"/>
    <n v="2656"/>
    <n v="2590"/>
    <n v="61"/>
    <x v="220"/>
    <x v="2"/>
    <d v="2024-03-27T00:00:00"/>
    <n v="22.18"/>
    <n v="58910.080000000002"/>
    <s v="PrimarkJeans2656259061453784537822.18"/>
    <b v="0"/>
  </r>
  <r>
    <s v="ORD0623"/>
    <x v="2"/>
    <x v="4"/>
    <n v="3442"/>
    <n v="3413"/>
    <n v="72"/>
    <x v="73"/>
    <x v="0"/>
    <d v="2024-05-27T00:00:00"/>
    <n v="18.47"/>
    <n v="63573.74"/>
    <s v="GapJacket3442341372454324543918.47"/>
    <b v="0"/>
  </r>
  <r>
    <s v="ORD0624"/>
    <x v="1"/>
    <x v="4"/>
    <n v="4129"/>
    <n v="3954"/>
    <n v="174"/>
    <x v="140"/>
    <x v="6"/>
    <d v="2024-09-10T00:00:00"/>
    <n v="13.59"/>
    <n v="56113.11"/>
    <s v="UniqloJacket41293954174455384554513.59"/>
    <b v="0"/>
  </r>
  <r>
    <s v="ORD0625"/>
    <x v="0"/>
    <x v="3"/>
    <n v="1096"/>
    <n v="1104"/>
    <n v="67"/>
    <x v="136"/>
    <x v="3"/>
    <d v="2024-06-01T00:00:00"/>
    <n v="15.3"/>
    <n v="16768.8"/>
    <s v="H&amp;MT-shirt1096110467454414544415.3"/>
    <b v="0"/>
  </r>
  <r>
    <s v="ORD0626"/>
    <x v="0"/>
    <x v="2"/>
    <n v="4884"/>
    <n v="4648"/>
    <n v="181"/>
    <x v="0"/>
    <x v="0"/>
    <d v="2024-05-01T00:00:00"/>
    <n v="19.649999999999999"/>
    <n v="95970.599999999991"/>
    <s v="H&amp;MShirt48844648181454134541319.65"/>
    <b v="0"/>
  </r>
  <r>
    <s v="ORD0627"/>
    <x v="3"/>
    <x v="4"/>
    <n v="3567"/>
    <n v="3521"/>
    <n v="64"/>
    <x v="291"/>
    <x v="7"/>
    <d v="2024-01-14T00:00:00"/>
    <n v="9.24"/>
    <n v="32959.08"/>
    <s v="ZaraJacket356735216445302453059.24"/>
    <b v="0"/>
  </r>
  <r>
    <s v="ORD0628"/>
    <x v="0"/>
    <x v="1"/>
    <n v="2794"/>
    <n v="2616"/>
    <n v="75"/>
    <x v="110"/>
    <x v="3"/>
    <d v="2024-06-07T00:00:00"/>
    <n v="11.71"/>
    <n v="32717.74"/>
    <s v="H&amp;MHoodie2794261675454434545011.71"/>
    <b v="0"/>
  </r>
  <r>
    <s v="ORD0629"/>
    <x v="0"/>
    <x v="4"/>
    <n v="2910"/>
    <n v="2862"/>
    <n v="111"/>
    <x v="234"/>
    <x v="7"/>
    <d v="2024-01-19T00:00:00"/>
    <n v="13.58"/>
    <n v="39517.800000000003"/>
    <s v="H&amp;MJacket29102862111453104531013.58"/>
    <b v="0"/>
  </r>
  <r>
    <s v="ORD0630"/>
    <x v="4"/>
    <x v="4"/>
    <n v="948"/>
    <n v="882"/>
    <n v="29"/>
    <x v="63"/>
    <x v="9"/>
    <d v="2024-04-09T00:00:00"/>
    <n v="15.93"/>
    <n v="15101.64"/>
    <s v="PrimarkJacket94888229453844539115.93"/>
    <b v="0"/>
  </r>
  <r>
    <s v="ORD0631"/>
    <x v="2"/>
    <x v="1"/>
    <n v="738"/>
    <n v="676"/>
    <n v="35"/>
    <x v="151"/>
    <x v="1"/>
    <d v="2024-10-28T00:00:00"/>
    <n v="7.34"/>
    <n v="5416.92"/>
    <s v="GapHoodie7386763545586455937.34"/>
    <b v="0"/>
  </r>
  <r>
    <s v="ORD0632"/>
    <x v="4"/>
    <x v="1"/>
    <n v="4666"/>
    <n v="4279"/>
    <n v="271"/>
    <x v="64"/>
    <x v="4"/>
    <d v="2024-11-09T00:00:00"/>
    <n v="18.579999999999998"/>
    <n v="86694.28"/>
    <s v="PrimarkHoodie46664279271456054560518.58"/>
    <b v="0"/>
  </r>
  <r>
    <s v="ORD0633"/>
    <x v="2"/>
    <x v="0"/>
    <n v="1320"/>
    <n v="1341"/>
    <n v="70"/>
    <x v="182"/>
    <x v="6"/>
    <d v="2024-09-09T00:00:00"/>
    <n v="22.15"/>
    <n v="29237.999999999996"/>
    <s v="GapJeans1320134170455424554422.15"/>
    <b v="0"/>
  </r>
  <r>
    <s v="ORD0634"/>
    <x v="4"/>
    <x v="3"/>
    <n v="4200"/>
    <n v="3919"/>
    <n v="235"/>
    <x v="178"/>
    <x v="4"/>
    <d v="2024-11-06T00:00:00"/>
    <n v="22.63"/>
    <n v="95046"/>
    <s v="PrimarkT-shirt42003919235456014560222.63"/>
    <b v="0"/>
  </r>
  <r>
    <s v="ORD0635"/>
    <x v="2"/>
    <x v="0"/>
    <n v="1596"/>
    <n v="1564"/>
    <n v="107"/>
    <x v="232"/>
    <x v="11"/>
    <d v="2024-12-01T00:00:00"/>
    <n v="21.43"/>
    <n v="34202.28"/>
    <s v="GapJeans15961564107456274562721.43"/>
    <b v="0"/>
  </r>
  <r>
    <s v="ORD0636"/>
    <x v="0"/>
    <x v="0"/>
    <n v="3046"/>
    <n v="2799"/>
    <n v="83"/>
    <x v="74"/>
    <x v="11"/>
    <d v="2024-12-04T00:00:00"/>
    <n v="15.63"/>
    <n v="47608.98"/>
    <s v="H&amp;MJeans3046279983456304563015.63"/>
    <b v="0"/>
  </r>
  <r>
    <s v="ORD0637"/>
    <x v="4"/>
    <x v="0"/>
    <n v="4508"/>
    <n v="4653"/>
    <n v="198"/>
    <x v="251"/>
    <x v="7"/>
    <d v="2024-01-30T00:00:00"/>
    <n v="6.51"/>
    <n v="29347.079999999998"/>
    <s v="PrimarkJeans4508465319845321453216.51"/>
    <b v="0"/>
  </r>
  <r>
    <s v="ORD0638"/>
    <x v="2"/>
    <x v="1"/>
    <n v="1755"/>
    <n v="1583"/>
    <n v="46"/>
    <x v="222"/>
    <x v="0"/>
    <d v="2024-05-18T00:00:00"/>
    <n v="9.16"/>
    <n v="16075.800000000001"/>
    <s v="GapHoodie175515834645427454309.16"/>
    <b v="0"/>
  </r>
  <r>
    <s v="ORD0639"/>
    <x v="1"/>
    <x v="4"/>
    <n v="3065"/>
    <n v="2937"/>
    <n v="140"/>
    <x v="201"/>
    <x v="5"/>
    <d v="2024-08-08T00:00:00"/>
    <n v="24.36"/>
    <n v="74663.399999999994"/>
    <s v="UniqloJacket30652937140455114551224.36"/>
    <b v="0"/>
  </r>
  <r>
    <s v="ORD0640"/>
    <x v="0"/>
    <x v="4"/>
    <n v="3372"/>
    <n v="3531"/>
    <n v="146"/>
    <x v="252"/>
    <x v="11"/>
    <d v="2024-12-01T00:00:00"/>
    <n v="15.27"/>
    <n v="51490.439999999995"/>
    <s v="H&amp;MJacket33723531146456264562715.27"/>
    <b v="0"/>
  </r>
  <r>
    <s v="ORD0641"/>
    <x v="1"/>
    <x v="4"/>
    <n v="4816"/>
    <n v="4738"/>
    <n v="153"/>
    <x v="143"/>
    <x v="10"/>
    <d v="2024-07-03T00:00:00"/>
    <n v="9.4"/>
    <n v="45270.400000000001"/>
    <s v="UniqloJacket4816473815345473454769.4"/>
    <b v="0"/>
  </r>
  <r>
    <s v="ORD0642"/>
    <x v="4"/>
    <x v="3"/>
    <n v="4635"/>
    <n v="4219"/>
    <n v="151"/>
    <x v="209"/>
    <x v="4"/>
    <d v="2024-11-26T00:00:00"/>
    <n v="14.28"/>
    <n v="66187.8"/>
    <s v="PrimarkT-shirt46354219151456224562214.28"/>
    <b v="0"/>
  </r>
  <r>
    <s v="ORD0643"/>
    <x v="3"/>
    <x v="0"/>
    <n v="3166"/>
    <n v="3290"/>
    <n v="120"/>
    <x v="290"/>
    <x v="6"/>
    <d v="2024-09-12T00:00:00"/>
    <n v="21.63"/>
    <n v="68480.58"/>
    <s v="ZaraJeans31663290120455474554721.63"/>
    <b v="0"/>
  </r>
  <r>
    <s v="ORD0644"/>
    <x v="0"/>
    <x v="0"/>
    <n v="1170"/>
    <n v="1194"/>
    <n v="76"/>
    <x v="222"/>
    <x v="0"/>
    <d v="2024-05-15T00:00:00"/>
    <n v="15.97"/>
    <n v="18684.900000000001"/>
    <s v="H&amp;MJeans1170119476454274542715.97"/>
    <b v="0"/>
  </r>
  <r>
    <s v="ORD0645"/>
    <x v="3"/>
    <x v="1"/>
    <n v="749"/>
    <n v="735"/>
    <n v="34"/>
    <x v="64"/>
    <x v="4"/>
    <d v="2024-11-10T00:00:00"/>
    <n v="12"/>
    <n v="8988"/>
    <s v="ZaraHoodie74973534456054560612"/>
    <b v="0"/>
  </r>
  <r>
    <s v="ORD0646"/>
    <x v="3"/>
    <x v="0"/>
    <n v="4292"/>
    <n v="3872"/>
    <n v="94"/>
    <x v="3"/>
    <x v="2"/>
    <d v="2024-03-04T00:00:00"/>
    <n v="19.260000000000002"/>
    <n v="82663.920000000013"/>
    <s v="ZaraJeans4292387294453504535519.26"/>
    <b v="0"/>
  </r>
  <r>
    <s v="ORD0647"/>
    <x v="3"/>
    <x v="1"/>
    <n v="3663"/>
    <n v="3403"/>
    <n v="246"/>
    <x v="260"/>
    <x v="5"/>
    <d v="2024-08-07T00:00:00"/>
    <n v="20"/>
    <n v="73260"/>
    <s v="ZaraHoodie36633403246455064551120"/>
    <b v="0"/>
  </r>
  <r>
    <s v="ORD0648"/>
    <x v="0"/>
    <x v="1"/>
    <n v="3446"/>
    <n v="3325"/>
    <n v="213"/>
    <x v="189"/>
    <x v="6"/>
    <d v="2024-09-04T00:00:00"/>
    <n v="22.05"/>
    <n v="75984.3"/>
    <s v="H&amp;MHoodie34463325213455364553922.05"/>
    <b v="0"/>
  </r>
  <r>
    <s v="ORD0649"/>
    <x v="0"/>
    <x v="4"/>
    <n v="4145"/>
    <n v="3827"/>
    <n v="165"/>
    <x v="261"/>
    <x v="2"/>
    <d v="2024-03-01T00:00:00"/>
    <n v="19.329999999999998"/>
    <n v="80122.849999999991"/>
    <s v="H&amp;MJacket41453827165453454535219.33"/>
    <b v="0"/>
  </r>
  <r>
    <s v="ORD0650"/>
    <x v="2"/>
    <x v="2"/>
    <n v="4091"/>
    <n v="4043"/>
    <n v="92"/>
    <x v="119"/>
    <x v="9"/>
    <d v="2024-04-06T00:00:00"/>
    <n v="17"/>
    <n v="69547"/>
    <s v="GapShirt4091404392453854538817"/>
    <b v="0"/>
  </r>
  <r>
    <s v="ORD0651"/>
    <x v="3"/>
    <x v="3"/>
    <n v="1149"/>
    <n v="1121"/>
    <n v="25"/>
    <x v="8"/>
    <x v="7"/>
    <d v="2024-01-02T00:00:00"/>
    <n v="6.54"/>
    <n v="7514.46"/>
    <s v="ZaraT-shirt114911212545293452936.54"/>
    <b v="0"/>
  </r>
  <r>
    <s v="ORD0652"/>
    <x v="3"/>
    <x v="3"/>
    <n v="870"/>
    <n v="890"/>
    <n v="49"/>
    <x v="20"/>
    <x v="2"/>
    <d v="2024-03-05T00:00:00"/>
    <n v="20.92"/>
    <n v="18200.400000000001"/>
    <s v="ZaraT-shirt87089049453534535620.92"/>
    <b v="0"/>
  </r>
  <r>
    <s v="ORD0653"/>
    <x v="1"/>
    <x v="4"/>
    <n v="3052"/>
    <n v="2867"/>
    <n v="217"/>
    <x v="13"/>
    <x v="0"/>
    <d v="2024-05-11T00:00:00"/>
    <n v="17.73"/>
    <n v="54111.96"/>
    <s v="UniqloJacket30522867217454204542317.73"/>
    <b v="0"/>
  </r>
  <r>
    <s v="ORD0654"/>
    <x v="3"/>
    <x v="2"/>
    <n v="4751"/>
    <n v="4605"/>
    <n v="135"/>
    <x v="170"/>
    <x v="1"/>
    <d v="2024-10-04T00:00:00"/>
    <n v="18.09"/>
    <n v="85945.59"/>
    <s v="ZaraShirt47514605135455694556918.09"/>
    <b v="0"/>
  </r>
  <r>
    <s v="ORD0655"/>
    <x v="4"/>
    <x v="0"/>
    <n v="3546"/>
    <n v="3604"/>
    <n v="243"/>
    <x v="114"/>
    <x v="4"/>
    <d v="2024-11-28T00:00:00"/>
    <n v="14.23"/>
    <n v="50459.58"/>
    <s v="PrimarkJeans35463604243456174562414.23"/>
    <b v="0"/>
  </r>
  <r>
    <s v="ORD0656"/>
    <x v="1"/>
    <x v="1"/>
    <n v="1863"/>
    <n v="1892"/>
    <n v="117"/>
    <x v="132"/>
    <x v="6"/>
    <d v="2024-09-15T00:00:00"/>
    <n v="8.01"/>
    <n v="14922.63"/>
    <s v="UniqloHoodie1863189211745548455508.01"/>
    <b v="0"/>
  </r>
  <r>
    <s v="ORD0657"/>
    <x v="0"/>
    <x v="0"/>
    <n v="3081"/>
    <n v="2788"/>
    <n v="199"/>
    <x v="126"/>
    <x v="7"/>
    <d v="2024-01-06T00:00:00"/>
    <n v="9.8699999999999992"/>
    <n v="30409.469999999998"/>
    <s v="H&amp;MJeans3081278819945296452979.87"/>
    <b v="0"/>
  </r>
  <r>
    <s v="ORD0658"/>
    <x v="0"/>
    <x v="2"/>
    <n v="3691"/>
    <n v="3796"/>
    <n v="246"/>
    <x v="68"/>
    <x v="10"/>
    <d v="2024-07-12T00:00:00"/>
    <n v="13.58"/>
    <n v="50123.78"/>
    <s v="H&amp;MShirt36913796246454784548513.58"/>
    <b v="0"/>
  </r>
  <r>
    <s v="ORD0659"/>
    <x v="2"/>
    <x v="2"/>
    <n v="4699"/>
    <n v="4699"/>
    <n v="78"/>
    <x v="143"/>
    <x v="10"/>
    <d v="2024-07-02T00:00:00"/>
    <n v="19.96"/>
    <n v="93792.040000000008"/>
    <s v="GapShirt4699469978454734547519.96"/>
    <b v="0"/>
  </r>
  <r>
    <s v="ORD0660"/>
    <x v="2"/>
    <x v="0"/>
    <n v="4339"/>
    <n v="4534"/>
    <n v="307"/>
    <x v="131"/>
    <x v="1"/>
    <d v="2024-10-13T00:00:00"/>
    <n v="23.06"/>
    <n v="100057.34"/>
    <s v="GapJeans43394534307455784557823.06"/>
    <b v="0"/>
  </r>
  <r>
    <s v="ORD0661"/>
    <x v="3"/>
    <x v="2"/>
    <n v="3005"/>
    <n v="2707"/>
    <n v="115"/>
    <x v="213"/>
    <x v="6"/>
    <d v="2024-09-11T00:00:00"/>
    <n v="16.420000000000002"/>
    <n v="49342.100000000006"/>
    <s v="ZaraShirt30052707115455444554616.42"/>
    <b v="0"/>
  </r>
  <r>
    <s v="ORD0662"/>
    <x v="1"/>
    <x v="1"/>
    <n v="3350"/>
    <n v="3026"/>
    <n v="106"/>
    <x v="292"/>
    <x v="4"/>
    <d v="2024-11-01T00:00:00"/>
    <n v="20.67"/>
    <n v="69244.5"/>
    <s v="UniqloHoodie33503026106455954559720.67"/>
    <b v="0"/>
  </r>
  <r>
    <s v="ORD0663"/>
    <x v="1"/>
    <x v="0"/>
    <n v="3350"/>
    <n v="3022"/>
    <n v="33"/>
    <x v="168"/>
    <x v="11"/>
    <d v="2024-12-28T00:00:00"/>
    <n v="23.33"/>
    <n v="78155.5"/>
    <s v="UniqloJeans3350302233456474565423.33"/>
    <b v="0"/>
  </r>
  <r>
    <s v="ORD0664"/>
    <x v="3"/>
    <x v="2"/>
    <n v="4339"/>
    <n v="4308"/>
    <n v="212"/>
    <x v="191"/>
    <x v="11"/>
    <d v="2024-12-08T00:00:00"/>
    <n v="17.489999999999998"/>
    <n v="75889.109999999986"/>
    <s v="ZaraShirt43394308212456324563417.49"/>
    <b v="0"/>
  </r>
  <r>
    <s v="ORD0665"/>
    <x v="0"/>
    <x v="2"/>
    <n v="4934"/>
    <n v="4870"/>
    <n v="386"/>
    <x v="188"/>
    <x v="3"/>
    <d v="2024-06-19T00:00:00"/>
    <n v="20.13"/>
    <n v="99321.42"/>
    <s v="H&amp;MShirt49344870386454624546220.13"/>
    <b v="0"/>
  </r>
  <r>
    <s v="ORD0666"/>
    <x v="4"/>
    <x v="1"/>
    <n v="1072"/>
    <n v="1027"/>
    <n v="26"/>
    <x v="116"/>
    <x v="0"/>
    <d v="2024-05-21T00:00:00"/>
    <n v="16.940000000000001"/>
    <n v="18159.68"/>
    <s v="PrimarkHoodie1072102726454304543316.94"/>
    <b v="0"/>
  </r>
  <r>
    <s v="ORD0667"/>
    <x v="2"/>
    <x v="4"/>
    <n v="3087"/>
    <n v="3022"/>
    <n v="74"/>
    <x v="293"/>
    <x v="6"/>
    <d v="2024-09-24T00:00:00"/>
    <n v="24.91"/>
    <n v="76897.17"/>
    <s v="GapJacket3087302274455594555924.91"/>
    <b v="0"/>
  </r>
  <r>
    <s v="ORD0668"/>
    <x v="1"/>
    <x v="0"/>
    <n v="2717"/>
    <n v="2736"/>
    <n v="140"/>
    <x v="280"/>
    <x v="10"/>
    <d v="2024-07-07T00:00:00"/>
    <n v="6.07"/>
    <n v="16492.190000000002"/>
    <s v="UniqloJeans2717273614045480454806.07"/>
    <b v="0"/>
  </r>
  <r>
    <s v="ORD0669"/>
    <x v="2"/>
    <x v="1"/>
    <n v="3726"/>
    <n v="3732"/>
    <n v="134"/>
    <x v="2"/>
    <x v="1"/>
    <d v="2024-10-04T00:00:00"/>
    <n v="23.83"/>
    <n v="88790.579999999987"/>
    <s v="GapHoodie37263732134455684556923.83"/>
    <b v="0"/>
  </r>
  <r>
    <s v="ORD0670"/>
    <x v="4"/>
    <x v="1"/>
    <n v="4216"/>
    <n v="3828"/>
    <n v="210"/>
    <x v="143"/>
    <x v="3"/>
    <d v="2024-06-30T00:00:00"/>
    <n v="24.48"/>
    <n v="103207.68000000001"/>
    <s v="PrimarkHoodie42163828210454734547324.48"/>
    <b v="0"/>
  </r>
  <r>
    <s v="ORD0671"/>
    <x v="3"/>
    <x v="0"/>
    <n v="1417"/>
    <n v="1308"/>
    <n v="71"/>
    <x v="180"/>
    <x v="0"/>
    <d v="2024-05-29T00:00:00"/>
    <n v="16.989999999999998"/>
    <n v="24074.829999999998"/>
    <s v="ZaraJeans1417130871454344544116.99"/>
    <b v="0"/>
  </r>
  <r>
    <s v="ORD0672"/>
    <x v="4"/>
    <x v="2"/>
    <n v="2249"/>
    <n v="2219"/>
    <n v="92"/>
    <x v="34"/>
    <x v="9"/>
    <d v="2024-04-21T00:00:00"/>
    <n v="23.97"/>
    <n v="53908.53"/>
    <s v="PrimarkShirt2249221992454034540323.97"/>
    <b v="0"/>
  </r>
  <r>
    <s v="ORD0673"/>
    <x v="0"/>
    <x v="1"/>
    <n v="874"/>
    <n v="809"/>
    <n v="33"/>
    <x v="255"/>
    <x v="7"/>
    <d v="2024-01-23T00:00:00"/>
    <n v="14.1"/>
    <n v="12323.4"/>
    <s v="H&amp;MHoodie87480933453114531414.1"/>
    <b v="0"/>
  </r>
  <r>
    <s v="ORD0674"/>
    <x v="2"/>
    <x v="4"/>
    <n v="3190"/>
    <n v="3176"/>
    <n v="243"/>
    <x v="294"/>
    <x v="4"/>
    <d v="2024-11-19T00:00:00"/>
    <n v="22.63"/>
    <n v="72189.7"/>
    <s v="GapJacket31903176243456134561522.63"/>
    <b v="0"/>
  </r>
  <r>
    <s v="ORD0675"/>
    <x v="1"/>
    <x v="0"/>
    <n v="1444"/>
    <n v="1359"/>
    <n v="101"/>
    <x v="76"/>
    <x v="12"/>
    <d v="2025-01-05T00:00:00"/>
    <n v="16.66"/>
    <n v="24057.040000000001"/>
    <s v="UniqloJeans14441359101456554566216.66"/>
    <b v="0"/>
  </r>
  <r>
    <s v="ORD0676"/>
    <x v="2"/>
    <x v="3"/>
    <n v="4382"/>
    <n v="3977"/>
    <n v="48"/>
    <x v="295"/>
    <x v="5"/>
    <d v="2024-08-03T00:00:00"/>
    <n v="13.47"/>
    <n v="59025.54"/>
    <s v="GapT-shirt4382397748455004550713.47"/>
    <b v="0"/>
  </r>
  <r>
    <s v="ORD0677"/>
    <x v="3"/>
    <x v="1"/>
    <n v="2887"/>
    <n v="2979"/>
    <n v="213"/>
    <x v="171"/>
    <x v="7"/>
    <d v="2024-01-14T00:00:00"/>
    <n v="18.18"/>
    <n v="52485.659999999996"/>
    <s v="ZaraHoodie28872979213452984530518.18"/>
    <b v="0"/>
  </r>
  <r>
    <s v="ORD0678"/>
    <x v="2"/>
    <x v="0"/>
    <n v="1454"/>
    <n v="1501"/>
    <n v="35"/>
    <x v="177"/>
    <x v="9"/>
    <d v="2024-04-04T00:00:00"/>
    <n v="19.75"/>
    <n v="28716.5"/>
    <s v="GapJeans1454150135453794538619.75"/>
    <b v="0"/>
  </r>
  <r>
    <s v="ORD0679"/>
    <x v="4"/>
    <x v="4"/>
    <n v="4774"/>
    <n v="4318"/>
    <n v="314"/>
    <x v="263"/>
    <x v="9"/>
    <d v="2024-04-28T00:00:00"/>
    <n v="17.45"/>
    <n v="83306.3"/>
    <s v="PrimarkJacket47744318314454104541017.45"/>
    <b v="0"/>
  </r>
  <r>
    <s v="ORD0680"/>
    <x v="3"/>
    <x v="3"/>
    <n v="1730"/>
    <n v="1776"/>
    <n v="25"/>
    <x v="208"/>
    <x v="5"/>
    <d v="2024-08-20T00:00:00"/>
    <n v="11.71"/>
    <n v="20258.300000000003"/>
    <s v="ZaraT-shirt1730177625455224552411.71"/>
    <b v="0"/>
  </r>
  <r>
    <s v="ORD0681"/>
    <x v="3"/>
    <x v="3"/>
    <n v="4356"/>
    <n v="4477"/>
    <n v="338"/>
    <x v="291"/>
    <x v="7"/>
    <d v="2024-01-11T00:00:00"/>
    <n v="6.7"/>
    <n v="29185.200000000001"/>
    <s v="ZaraT-shirt4356447733845302453026.7"/>
    <b v="0"/>
  </r>
  <r>
    <s v="ORD0682"/>
    <x v="3"/>
    <x v="1"/>
    <n v="1594"/>
    <n v="1485"/>
    <n v="38"/>
    <x v="258"/>
    <x v="11"/>
    <d v="2024-12-30T00:00:00"/>
    <n v="14.38"/>
    <n v="22921.72"/>
    <s v="ZaraHoodie1594148538456494565614.38"/>
    <b v="0"/>
  </r>
  <r>
    <s v="ORD0683"/>
    <x v="3"/>
    <x v="4"/>
    <n v="3655"/>
    <n v="3822"/>
    <n v="241"/>
    <x v="296"/>
    <x v="1"/>
    <d v="2024-10-23T00:00:00"/>
    <n v="24.36"/>
    <n v="89035.8"/>
    <s v="ZaraJacket36553822241455874558824.36"/>
    <b v="0"/>
  </r>
  <r>
    <s v="ORD0684"/>
    <x v="1"/>
    <x v="1"/>
    <n v="2603"/>
    <n v="2403"/>
    <n v="58"/>
    <x v="63"/>
    <x v="9"/>
    <d v="2024-04-05T00:00:00"/>
    <n v="17.61"/>
    <n v="45838.83"/>
    <s v="UniqloHoodie2603240358453844538717.61"/>
    <b v="0"/>
  </r>
  <r>
    <s v="ORD0685"/>
    <x v="1"/>
    <x v="3"/>
    <n v="1583"/>
    <n v="1620"/>
    <n v="57"/>
    <x v="259"/>
    <x v="7"/>
    <d v="2024-01-20T00:00:00"/>
    <n v="12.07"/>
    <n v="19106.810000000001"/>
    <s v="UniqloT-shirt1583162057453044531112.07"/>
    <b v="0"/>
  </r>
  <r>
    <s v="ORD0686"/>
    <x v="4"/>
    <x v="2"/>
    <n v="4631"/>
    <n v="4314"/>
    <n v="287"/>
    <x v="96"/>
    <x v="3"/>
    <d v="2024-06-19T00:00:00"/>
    <n v="7.94"/>
    <n v="36770.14"/>
    <s v="PrimarkShirt4631431428745457454627.94"/>
    <b v="0"/>
  </r>
  <r>
    <s v="ORD0687"/>
    <x v="1"/>
    <x v="3"/>
    <n v="2379"/>
    <n v="2196"/>
    <n v="34"/>
    <x v="291"/>
    <x v="7"/>
    <d v="2024-01-12T00:00:00"/>
    <n v="14.69"/>
    <n v="34947.51"/>
    <s v="UniqloT-shirt2379219634453024530314.69"/>
    <b v="0"/>
  </r>
  <r>
    <s v="ORD0688"/>
    <x v="1"/>
    <x v="1"/>
    <n v="3873"/>
    <n v="3952"/>
    <n v="77"/>
    <x v="297"/>
    <x v="0"/>
    <d v="2024-05-10T00:00:00"/>
    <n v="16.61"/>
    <n v="64330.53"/>
    <s v="UniqloHoodie3873395277454194542216.61"/>
    <b v="0"/>
  </r>
  <r>
    <s v="ORD0689"/>
    <x v="4"/>
    <x v="1"/>
    <n v="2443"/>
    <n v="2427"/>
    <n v="70"/>
    <x v="172"/>
    <x v="0"/>
    <d v="2024-05-24T00:00:00"/>
    <n v="14.76"/>
    <n v="36058.68"/>
    <s v="PrimarkHoodie2443242770454364543614.76"/>
    <b v="0"/>
  </r>
  <r>
    <s v="ORD0690"/>
    <x v="1"/>
    <x v="2"/>
    <n v="3818"/>
    <n v="3999"/>
    <n v="150"/>
    <x v="275"/>
    <x v="10"/>
    <d v="2024-07-06T00:00:00"/>
    <n v="19.3"/>
    <n v="73687.400000000009"/>
    <s v="UniqloShirt38183999150454724547919.3"/>
    <b v="0"/>
  </r>
  <r>
    <s v="ORD0691"/>
    <x v="0"/>
    <x v="0"/>
    <n v="725"/>
    <n v="702"/>
    <n v="42"/>
    <x v="284"/>
    <x v="9"/>
    <d v="2024-04-20T00:00:00"/>
    <n v="16.489999999999998"/>
    <n v="11955.249999999998"/>
    <s v="H&amp;MJeans72570242453974540216.49"/>
    <b v="0"/>
  </r>
  <r>
    <s v="ORD0692"/>
    <x v="1"/>
    <x v="3"/>
    <n v="2026"/>
    <n v="2078"/>
    <n v="164"/>
    <x v="31"/>
    <x v="0"/>
    <d v="2024-05-27T00:00:00"/>
    <n v="22.79"/>
    <n v="46172.54"/>
    <s v="UniqloT-shirt20262078164454394543922.79"/>
    <b v="0"/>
  </r>
  <r>
    <s v="ORD0693"/>
    <x v="4"/>
    <x v="2"/>
    <n v="4302"/>
    <n v="4209"/>
    <n v="180"/>
    <x v="271"/>
    <x v="4"/>
    <d v="2024-11-28T00:00:00"/>
    <n v="18.12"/>
    <n v="77952.240000000005"/>
    <s v="PrimarkShirt43024209180456234562418.12"/>
    <b v="0"/>
  </r>
  <r>
    <s v="ORD0694"/>
    <x v="3"/>
    <x v="1"/>
    <n v="3609"/>
    <n v="3701"/>
    <n v="130"/>
    <x v="298"/>
    <x v="7"/>
    <d v="2024-01-25T00:00:00"/>
    <n v="22.2"/>
    <n v="80119.8"/>
    <s v="ZaraHoodie36093701130453094531622.2"/>
    <b v="0"/>
  </r>
  <r>
    <s v="ORD0695"/>
    <x v="1"/>
    <x v="2"/>
    <n v="2330"/>
    <n v="2255"/>
    <n v="142"/>
    <x v="299"/>
    <x v="11"/>
    <d v="2024-12-30T00:00:00"/>
    <n v="7.52"/>
    <n v="17521.599999999999"/>
    <s v="UniqloShirt2330225514245656456567.52"/>
    <b v="0"/>
  </r>
  <r>
    <s v="ORD0696"/>
    <x v="0"/>
    <x v="2"/>
    <n v="2532"/>
    <n v="2345"/>
    <n v="116"/>
    <x v="300"/>
    <x v="11"/>
    <d v="2024-12-14T00:00:00"/>
    <n v="16.59"/>
    <n v="42005.88"/>
    <s v="H&amp;MShirt25322345116456374564016.59"/>
    <b v="0"/>
  </r>
  <r>
    <s v="ORD0697"/>
    <x v="1"/>
    <x v="3"/>
    <n v="2130"/>
    <n v="2045"/>
    <n v="159"/>
    <x v="301"/>
    <x v="11"/>
    <d v="2024-12-05T00:00:00"/>
    <n v="23.65"/>
    <n v="50374.5"/>
    <s v="UniqloT-shirt21302045159456244563123.65"/>
    <b v="0"/>
  </r>
  <r>
    <s v="ORD0698"/>
    <x v="0"/>
    <x v="0"/>
    <n v="3758"/>
    <n v="3461"/>
    <n v="172"/>
    <x v="145"/>
    <x v="5"/>
    <d v="2024-08-09T00:00:00"/>
    <n v="8.7100000000000009"/>
    <n v="32732.180000000004"/>
    <s v="H&amp;MJeans3758346117245513455138.71"/>
    <b v="0"/>
  </r>
  <r>
    <s v="ORD0699"/>
    <x v="3"/>
    <x v="3"/>
    <n v="2166"/>
    <n v="2008"/>
    <n v="136"/>
    <x v="302"/>
    <x v="10"/>
    <d v="2024-07-23T00:00:00"/>
    <n v="10.71"/>
    <n v="23197.86"/>
    <s v="ZaraT-shirt21662008136454914549610.71"/>
    <b v="0"/>
  </r>
  <r>
    <s v="ORD0700"/>
    <x v="1"/>
    <x v="2"/>
    <n v="571"/>
    <n v="545"/>
    <n v="35"/>
    <x v="290"/>
    <x v="6"/>
    <d v="2024-09-12T00:00:00"/>
    <n v="10.06"/>
    <n v="5744.26"/>
    <s v="UniqloShirt57154535455474554710.06"/>
    <b v="0"/>
  </r>
  <r>
    <s v="ORD0701"/>
    <x v="1"/>
    <x v="3"/>
    <n v="1326"/>
    <n v="1361"/>
    <n v="89"/>
    <x v="185"/>
    <x v="11"/>
    <d v="2024-12-15T00:00:00"/>
    <n v="8.5"/>
    <n v="11271"/>
    <s v="UniqloT-shirt132613618945636456418.5"/>
    <b v="0"/>
  </r>
  <r>
    <s v="ORD0702"/>
    <x v="4"/>
    <x v="1"/>
    <n v="2834"/>
    <n v="2643"/>
    <n v="188"/>
    <x v="259"/>
    <x v="7"/>
    <d v="2024-01-15T00:00:00"/>
    <n v="9.99"/>
    <n v="28311.66"/>
    <s v="PrimarkHoodie2834264318845304453069.99"/>
    <b v="0"/>
  </r>
  <r>
    <s v="ORD0703"/>
    <x v="0"/>
    <x v="2"/>
    <n v="3186"/>
    <n v="3154"/>
    <n v="43"/>
    <x v="152"/>
    <x v="11"/>
    <d v="2024-12-05T00:00:00"/>
    <n v="12.53"/>
    <n v="39920.579999999994"/>
    <s v="H&amp;MShirt3186315443456284563112.53"/>
    <b v="0"/>
  </r>
  <r>
    <s v="ORD0704"/>
    <x v="2"/>
    <x v="4"/>
    <n v="3479"/>
    <n v="3370"/>
    <n v="116"/>
    <x v="44"/>
    <x v="2"/>
    <d v="2024-03-05T00:00:00"/>
    <n v="6.88"/>
    <n v="23935.52"/>
    <s v="GapJacket3479337011645349453566.88"/>
    <b v="0"/>
  </r>
  <r>
    <s v="ORD0705"/>
    <x v="1"/>
    <x v="0"/>
    <n v="4704"/>
    <n v="4900"/>
    <n v="258"/>
    <x v="98"/>
    <x v="9"/>
    <d v="2024-04-20T00:00:00"/>
    <n v="23.49"/>
    <n v="110496.95999999999"/>
    <s v="UniqloJeans47044900258454024540223.49"/>
    <b v="0"/>
  </r>
  <r>
    <s v="ORD0706"/>
    <x v="4"/>
    <x v="4"/>
    <n v="2020"/>
    <n v="2052"/>
    <n v="121"/>
    <x v="241"/>
    <x v="6"/>
    <d v="2024-09-02T00:00:00"/>
    <n v="17.309999999999999"/>
    <n v="34966.199999999997"/>
    <s v="PrimarkJacket20202052121455374553717.31"/>
    <b v="0"/>
  </r>
  <r>
    <s v="ORD0707"/>
    <x v="0"/>
    <x v="4"/>
    <n v="1412"/>
    <n v="1419"/>
    <n v="107"/>
    <x v="240"/>
    <x v="5"/>
    <d v="2024-08-28T00:00:00"/>
    <n v="12.52"/>
    <n v="17678.239999999998"/>
    <s v="H&amp;MJacket14121419107455294553212.52"/>
    <b v="0"/>
  </r>
  <r>
    <s v="ORD0708"/>
    <x v="4"/>
    <x v="0"/>
    <n v="3909"/>
    <n v="3618"/>
    <n v="43"/>
    <x v="139"/>
    <x v="8"/>
    <d v="2024-02-24T00:00:00"/>
    <n v="9.09"/>
    <n v="35532.81"/>
    <s v="PrimarkJeans390936184345346453469.09"/>
    <b v="0"/>
  </r>
  <r>
    <s v="ORD0709"/>
    <x v="2"/>
    <x v="3"/>
    <n v="3483"/>
    <n v="3253"/>
    <n v="185"/>
    <x v="76"/>
    <x v="12"/>
    <d v="2025-01-03T00:00:00"/>
    <n v="14.37"/>
    <n v="50050.71"/>
    <s v="GapT-shirt34833253185456554566014.37"/>
    <b v="0"/>
  </r>
  <r>
    <s v="ORD0710"/>
    <x v="3"/>
    <x v="3"/>
    <n v="2931"/>
    <n v="2653"/>
    <n v="128"/>
    <x v="143"/>
    <x v="10"/>
    <d v="2024-07-05T00:00:00"/>
    <n v="13.76"/>
    <n v="40330.559999999998"/>
    <s v="ZaraT-shirt29312653128454734547813.76"/>
    <b v="0"/>
  </r>
  <r>
    <s v="ORD0711"/>
    <x v="1"/>
    <x v="2"/>
    <n v="3572"/>
    <n v="3641"/>
    <n v="228"/>
    <x v="123"/>
    <x v="1"/>
    <d v="2024-10-19T00:00:00"/>
    <n v="9.31"/>
    <n v="33255.32"/>
    <s v="UniqloShirt3572364122845579455849.31"/>
    <b v="0"/>
  </r>
  <r>
    <s v="ORD0712"/>
    <x v="4"/>
    <x v="3"/>
    <n v="2004"/>
    <n v="2036"/>
    <n v="150"/>
    <x v="303"/>
    <x v="3"/>
    <d v="2024-06-06T00:00:00"/>
    <n v="8.7799999999999994"/>
    <n v="17595.12"/>
    <s v="PrimarkT-shirt2004203615045446454498.78"/>
    <b v="0"/>
  </r>
  <r>
    <s v="ORD0713"/>
    <x v="4"/>
    <x v="2"/>
    <n v="1844"/>
    <n v="1828"/>
    <n v="43"/>
    <x v="157"/>
    <x v="9"/>
    <d v="2024-04-12T00:00:00"/>
    <n v="6.11"/>
    <n v="11266.84"/>
    <s v="PrimarkShirt184418284345394453946.11"/>
    <b v="0"/>
  </r>
  <r>
    <s v="ORD0714"/>
    <x v="1"/>
    <x v="2"/>
    <n v="2004"/>
    <n v="1874"/>
    <n v="107"/>
    <x v="288"/>
    <x v="8"/>
    <d v="2024-02-28T00:00:00"/>
    <n v="16.32"/>
    <n v="32705.279999999999"/>
    <s v="UniqloShirt20041874107453474535016.32"/>
    <b v="0"/>
  </r>
  <r>
    <s v="ORD0715"/>
    <x v="0"/>
    <x v="3"/>
    <n v="4937"/>
    <n v="4492"/>
    <n v="50"/>
    <x v="178"/>
    <x v="4"/>
    <d v="2024-11-12T00:00:00"/>
    <n v="21.54"/>
    <n v="106342.98"/>
    <s v="H&amp;MT-shirt4937449250456014560821.54"/>
    <b v="0"/>
  </r>
  <r>
    <s v="ORD0716"/>
    <x v="1"/>
    <x v="0"/>
    <n v="1756"/>
    <n v="1654"/>
    <n v="65"/>
    <x v="226"/>
    <x v="0"/>
    <d v="2024-05-28T00:00:00"/>
    <n v="10.85"/>
    <n v="19052.599999999999"/>
    <s v="UniqloJeans1756165465454404544010.85"/>
    <b v="0"/>
  </r>
  <r>
    <s v="ORD0717"/>
    <x v="2"/>
    <x v="0"/>
    <n v="1973"/>
    <n v="1973"/>
    <n v="148"/>
    <x v="231"/>
    <x v="1"/>
    <d v="2024-10-02T00:00:00"/>
    <n v="10.31"/>
    <n v="20341.63"/>
    <s v="GapJeans19731973148455644556710.31"/>
    <b v="0"/>
  </r>
  <r>
    <s v="ORD0718"/>
    <x v="3"/>
    <x v="4"/>
    <n v="3718"/>
    <n v="3453"/>
    <n v="105"/>
    <x v="148"/>
    <x v="1"/>
    <d v="2024-10-19T00:00:00"/>
    <n v="17.39"/>
    <n v="64656.020000000004"/>
    <s v="ZaraJacket37183453105455844558417.39"/>
    <b v="0"/>
  </r>
  <r>
    <s v="ORD0719"/>
    <x v="1"/>
    <x v="0"/>
    <n v="4297"/>
    <n v="4046"/>
    <n v="120"/>
    <x v="32"/>
    <x v="4"/>
    <d v="2024-11-03T00:00:00"/>
    <n v="24.27"/>
    <n v="104288.19"/>
    <s v="UniqloJeans42974046120455994559924.27"/>
    <b v="0"/>
  </r>
  <r>
    <s v="ORD0720"/>
    <x v="2"/>
    <x v="3"/>
    <n v="3859"/>
    <n v="3787"/>
    <n v="129"/>
    <x v="282"/>
    <x v="2"/>
    <d v="2024-03-23T00:00:00"/>
    <n v="13.71"/>
    <n v="52906.890000000007"/>
    <s v="GapT-shirt38593787129453744537413.71"/>
    <b v="0"/>
  </r>
  <r>
    <s v="ORD0721"/>
    <x v="3"/>
    <x v="4"/>
    <n v="1878"/>
    <n v="1730"/>
    <n v="55"/>
    <x v="129"/>
    <x v="5"/>
    <d v="2024-08-04T00:00:00"/>
    <n v="21.99"/>
    <n v="41297.219999999994"/>
    <s v="ZaraJacket1878173055455014550821.99"/>
    <b v="0"/>
  </r>
  <r>
    <s v="ORD0722"/>
    <x v="0"/>
    <x v="3"/>
    <n v="3156"/>
    <n v="3283"/>
    <n v="75"/>
    <x v="120"/>
    <x v="0"/>
    <d v="2024-05-21T00:00:00"/>
    <n v="12.45"/>
    <n v="39292.199999999997"/>
    <s v="H&amp;MT-shirt3156328375454284543312.45"/>
    <b v="0"/>
  </r>
  <r>
    <s v="ORD0723"/>
    <x v="4"/>
    <x v="3"/>
    <n v="3459"/>
    <n v="3481"/>
    <n v="101"/>
    <x v="11"/>
    <x v="5"/>
    <d v="2024-08-24T00:00:00"/>
    <n v="11.83"/>
    <n v="40919.97"/>
    <s v="PrimarkT-shirt34593481101455284552811.83"/>
    <b v="0"/>
  </r>
  <r>
    <s v="ORD0724"/>
    <x v="2"/>
    <x v="4"/>
    <n v="1773"/>
    <n v="1597"/>
    <n v="22"/>
    <x v="207"/>
    <x v="11"/>
    <d v="2024-12-25T00:00:00"/>
    <n v="23.1"/>
    <n v="40956.300000000003"/>
    <s v="GapJacket1773159722456514565123.1"/>
    <b v="0"/>
  </r>
  <r>
    <s v="ORD0725"/>
    <x v="4"/>
    <x v="3"/>
    <n v="4747"/>
    <n v="4854"/>
    <n v="305"/>
    <x v="10"/>
    <x v="6"/>
    <d v="2024-09-27T00:00:00"/>
    <n v="6.11"/>
    <n v="29004.170000000002"/>
    <s v="PrimarkT-shirt4747485430545562455626.11"/>
    <b v="0"/>
  </r>
  <r>
    <s v="ORD0726"/>
    <x v="3"/>
    <x v="3"/>
    <n v="4700"/>
    <n v="4697"/>
    <n v="182"/>
    <x v="304"/>
    <x v="11"/>
    <d v="2024-12-16T00:00:00"/>
    <n v="13.05"/>
    <n v="61335"/>
    <s v="ZaraT-shirt47004697182456424564213.05"/>
    <b v="0"/>
  </r>
  <r>
    <s v="ORD0727"/>
    <x v="1"/>
    <x v="2"/>
    <n v="4735"/>
    <n v="4907"/>
    <n v="156"/>
    <x v="13"/>
    <x v="0"/>
    <d v="2024-05-11T00:00:00"/>
    <n v="18.82"/>
    <n v="89112.7"/>
    <s v="UniqloShirt47354907156454204542318.82"/>
    <b v="0"/>
  </r>
  <r>
    <s v="ORD0728"/>
    <x v="4"/>
    <x v="4"/>
    <n v="4172"/>
    <n v="4211"/>
    <n v="319"/>
    <x v="174"/>
    <x v="11"/>
    <d v="2024-12-05T00:00:00"/>
    <n v="17.079999999999998"/>
    <n v="71257.759999999995"/>
    <s v="PrimarkJacket41724211319456314563117.08"/>
    <b v="0"/>
  </r>
  <r>
    <s v="ORD0729"/>
    <x v="3"/>
    <x v="3"/>
    <n v="1127"/>
    <n v="1034"/>
    <n v="63"/>
    <x v="264"/>
    <x v="1"/>
    <d v="2024-10-22T00:00:00"/>
    <n v="15.63"/>
    <n v="17615.010000000002"/>
    <s v="ZaraT-shirt1127103463455854558715.63"/>
    <b v="0"/>
  </r>
  <r>
    <s v="ORD0730"/>
    <x v="3"/>
    <x v="0"/>
    <n v="3714"/>
    <n v="3871"/>
    <n v="75"/>
    <x v="106"/>
    <x v="7"/>
    <d v="2024-01-27T00:00:00"/>
    <n v="19.68"/>
    <n v="73091.520000000004"/>
    <s v="ZaraJeans3714387175453164531819.68"/>
    <b v="0"/>
  </r>
  <r>
    <s v="ORD0731"/>
    <x v="1"/>
    <x v="4"/>
    <n v="1483"/>
    <n v="1360"/>
    <n v="65"/>
    <x v="34"/>
    <x v="9"/>
    <d v="2024-04-22T00:00:00"/>
    <n v="23.05"/>
    <n v="34183.15"/>
    <s v="UniqloJacket1483136065454034540423.05"/>
    <b v="0"/>
  </r>
  <r>
    <s v="ORD0732"/>
    <x v="2"/>
    <x v="2"/>
    <n v="1826"/>
    <n v="1647"/>
    <n v="83"/>
    <x v="81"/>
    <x v="5"/>
    <d v="2024-08-17T00:00:00"/>
    <n v="7.12"/>
    <n v="13001.12"/>
    <s v="GapShirt182616478345518455217.12"/>
    <b v="0"/>
  </r>
  <r>
    <s v="ORD0733"/>
    <x v="1"/>
    <x v="4"/>
    <n v="2186"/>
    <n v="2196"/>
    <n v="85"/>
    <x v="135"/>
    <x v="3"/>
    <d v="2024-06-28T00:00:00"/>
    <n v="16.21"/>
    <n v="35435.060000000005"/>
    <s v="UniqloJacket2186219685454714547116.21"/>
    <b v="0"/>
  </r>
  <r>
    <s v="ORD0734"/>
    <x v="2"/>
    <x v="3"/>
    <n v="4283"/>
    <n v="4385"/>
    <n v="289"/>
    <x v="11"/>
    <x v="5"/>
    <d v="2024-08-26T00:00:00"/>
    <n v="7.09"/>
    <n v="30366.47"/>
    <s v="GapT-shirt4283438528945528455307.09"/>
    <b v="0"/>
  </r>
  <r>
    <s v="ORD0735"/>
    <x v="0"/>
    <x v="3"/>
    <n v="810"/>
    <n v="772"/>
    <n v="12"/>
    <x v="89"/>
    <x v="10"/>
    <d v="2024-07-15T00:00:00"/>
    <n v="16.7"/>
    <n v="13527"/>
    <s v="H&amp;MT-shirt81077212454884548816.7"/>
    <b v="0"/>
  </r>
  <r>
    <s v="ORD0736"/>
    <x v="2"/>
    <x v="2"/>
    <n v="3299"/>
    <n v="3356"/>
    <n v="197"/>
    <x v="33"/>
    <x v="6"/>
    <d v="2024-09-24T00:00:00"/>
    <n v="17.34"/>
    <n v="57204.659999999996"/>
    <s v="GapShirt32993356197455584555917.34"/>
    <b v="0"/>
  </r>
  <r>
    <s v="ORD0737"/>
    <x v="4"/>
    <x v="4"/>
    <n v="4506"/>
    <n v="4172"/>
    <n v="207"/>
    <x v="201"/>
    <x v="5"/>
    <d v="2024-08-07T00:00:00"/>
    <n v="10.93"/>
    <n v="49250.58"/>
    <s v="PrimarkJacket45064172207455114551110.93"/>
    <b v="0"/>
  </r>
  <r>
    <s v="ORD0738"/>
    <x v="3"/>
    <x v="0"/>
    <n v="3004"/>
    <n v="2717"/>
    <n v="175"/>
    <x v="253"/>
    <x v="3"/>
    <d v="2024-06-15T00:00:00"/>
    <n v="9.8000000000000007"/>
    <n v="29439.200000000001"/>
    <s v="ZaraJeans3004271717545453454589.8"/>
    <b v="0"/>
  </r>
  <r>
    <s v="ORD0739"/>
    <x v="1"/>
    <x v="4"/>
    <n v="2087"/>
    <n v="1886"/>
    <n v="87"/>
    <x v="50"/>
    <x v="9"/>
    <d v="2024-04-15T00:00:00"/>
    <n v="9.3699999999999992"/>
    <n v="19555.189999999999"/>
    <s v="UniqloJacket208718868745392453979.37"/>
    <b v="0"/>
  </r>
  <r>
    <s v="ORD0740"/>
    <x v="3"/>
    <x v="0"/>
    <n v="2932"/>
    <n v="2750"/>
    <n v="138"/>
    <x v="252"/>
    <x v="4"/>
    <d v="2024-11-30T00:00:00"/>
    <n v="12.18"/>
    <n v="35711.760000000002"/>
    <s v="ZaraJeans29322750138456264562612.18"/>
    <b v="0"/>
  </r>
  <r>
    <s v="ORD0741"/>
    <x v="1"/>
    <x v="4"/>
    <n v="4617"/>
    <n v="4485"/>
    <n v="154"/>
    <x v="4"/>
    <x v="3"/>
    <d v="2024-06-23T00:00:00"/>
    <n v="12.25"/>
    <n v="56558.25"/>
    <s v="UniqloJacket46174485154454664546612.25"/>
    <b v="0"/>
  </r>
  <r>
    <s v="ORD0742"/>
    <x v="3"/>
    <x v="1"/>
    <n v="2537"/>
    <n v="2362"/>
    <n v="37"/>
    <x v="142"/>
    <x v="2"/>
    <d v="2024-03-20T00:00:00"/>
    <n v="14.33"/>
    <n v="36355.21"/>
    <s v="ZaraHoodie2537236237453694537114.33"/>
    <b v="0"/>
  </r>
  <r>
    <s v="ORD0743"/>
    <x v="2"/>
    <x v="1"/>
    <n v="3321"/>
    <n v="3270"/>
    <n v="74"/>
    <x v="180"/>
    <x v="0"/>
    <d v="2024-05-25T00:00:00"/>
    <n v="7.79"/>
    <n v="25870.59"/>
    <s v="GapHoodie332132707445434454377.79"/>
    <b v="0"/>
  </r>
  <r>
    <s v="ORD0744"/>
    <x v="1"/>
    <x v="2"/>
    <n v="4080"/>
    <n v="3907"/>
    <n v="164"/>
    <x v="14"/>
    <x v="3"/>
    <d v="2024-06-12T00:00:00"/>
    <n v="11.07"/>
    <n v="45165.599999999999"/>
    <s v="UniqloShirt40803907164454544545511.07"/>
    <b v="0"/>
  </r>
  <r>
    <s v="ORD0745"/>
    <x v="1"/>
    <x v="1"/>
    <n v="4601"/>
    <n v="4609"/>
    <n v="70"/>
    <x v="305"/>
    <x v="7"/>
    <d v="2024-01-31T00:00:00"/>
    <n v="13.42"/>
    <n v="61745.42"/>
    <s v="UniqloHoodie4601460970453174532213.42"/>
    <b v="0"/>
  </r>
  <r>
    <s v="ORD0746"/>
    <x v="4"/>
    <x v="0"/>
    <n v="3576"/>
    <n v="3385"/>
    <n v="93"/>
    <x v="6"/>
    <x v="5"/>
    <d v="2024-08-29T00:00:00"/>
    <n v="18.079999999999998"/>
    <n v="64654.079999999994"/>
    <s v="PrimarkJeans3576338593455334553318.08"/>
    <b v="0"/>
  </r>
  <r>
    <s v="ORD0747"/>
    <x v="0"/>
    <x v="3"/>
    <n v="1911"/>
    <n v="1881"/>
    <n v="112"/>
    <x v="273"/>
    <x v="8"/>
    <d v="2024-02-18T00:00:00"/>
    <n v="6.37"/>
    <n v="12173.07"/>
    <s v="H&amp;MT-shirt1911188111245335453406.37"/>
    <b v="0"/>
  </r>
  <r>
    <s v="ORD0748"/>
    <x v="4"/>
    <x v="4"/>
    <n v="4614"/>
    <n v="4687"/>
    <n v="61"/>
    <x v="265"/>
    <x v="9"/>
    <d v="2024-04-09T00:00:00"/>
    <n v="18.87"/>
    <n v="87066.180000000008"/>
    <s v="PrimarkJacket4614468761453914539118.87"/>
    <b v="0"/>
  </r>
  <r>
    <s v="ORD0749"/>
    <x v="0"/>
    <x v="3"/>
    <n v="2591"/>
    <n v="2648"/>
    <n v="139"/>
    <x v="306"/>
    <x v="11"/>
    <d v="2024-12-28T00:00:00"/>
    <n v="12.47"/>
    <n v="32309.77"/>
    <s v="H&amp;MT-shirt25912648139456544565412.47"/>
    <b v="0"/>
  </r>
  <r>
    <s v="ORD0750"/>
    <x v="3"/>
    <x v="3"/>
    <n v="2902"/>
    <n v="2766"/>
    <n v="107"/>
    <x v="72"/>
    <x v="5"/>
    <d v="2024-08-29T00:00:00"/>
    <n v="18.52"/>
    <n v="53745.04"/>
    <s v="ZaraT-shirt29022766107455304553318.52"/>
    <b v="0"/>
  </r>
  <r>
    <s v="ORD0751"/>
    <x v="3"/>
    <x v="2"/>
    <n v="4407"/>
    <n v="4334"/>
    <n v="52"/>
    <x v="300"/>
    <x v="11"/>
    <d v="2024-12-12T00:00:00"/>
    <n v="23.14"/>
    <n v="101977.98"/>
    <s v="ZaraShirt4407433452456374563823.14"/>
    <b v="0"/>
  </r>
  <r>
    <s v="ORD0752"/>
    <x v="3"/>
    <x v="3"/>
    <n v="2784"/>
    <n v="2802"/>
    <n v="46"/>
    <x v="10"/>
    <x v="6"/>
    <d v="2024-09-27T00:00:00"/>
    <n v="11.35"/>
    <n v="31598.399999999998"/>
    <s v="ZaraT-shirt2784280246455624556211.35"/>
    <b v="0"/>
  </r>
  <r>
    <s v="ORD0753"/>
    <x v="4"/>
    <x v="3"/>
    <n v="2706"/>
    <n v="2824"/>
    <n v="71"/>
    <x v="76"/>
    <x v="11"/>
    <d v="2024-12-29T00:00:00"/>
    <n v="22.72"/>
    <n v="61480.32"/>
    <s v="PrimarkT-shirt2706282471456554565522.72"/>
    <b v="0"/>
  </r>
  <r>
    <s v="ORD0754"/>
    <x v="2"/>
    <x v="3"/>
    <n v="4698"/>
    <n v="4675"/>
    <n v="252"/>
    <x v="307"/>
    <x v="5"/>
    <d v="2024-08-17T00:00:00"/>
    <n v="13.06"/>
    <n v="61355.880000000005"/>
    <s v="GapT-shirt46984675252455214552113.06"/>
    <b v="0"/>
  </r>
  <r>
    <s v="ORD0755"/>
    <x v="3"/>
    <x v="3"/>
    <n v="3280"/>
    <n v="3147"/>
    <n v="129"/>
    <x v="45"/>
    <x v="3"/>
    <d v="2024-06-01T00:00:00"/>
    <n v="22.87"/>
    <n v="75013.600000000006"/>
    <s v="ZaraT-shirt32803147129454424544422.87"/>
    <b v="0"/>
  </r>
  <r>
    <s v="ORD0756"/>
    <x v="2"/>
    <x v="1"/>
    <n v="2897"/>
    <n v="2842"/>
    <n v="196"/>
    <x v="60"/>
    <x v="7"/>
    <d v="2024-01-06T00:00:00"/>
    <n v="13.63"/>
    <n v="39486.11"/>
    <s v="GapHoodie28972842196452954529713.63"/>
    <b v="0"/>
  </r>
  <r>
    <s v="ORD0757"/>
    <x v="1"/>
    <x v="4"/>
    <n v="3466"/>
    <n v="3379"/>
    <n v="136"/>
    <x v="18"/>
    <x v="9"/>
    <d v="2024-04-05T00:00:00"/>
    <n v="9.99"/>
    <n v="34625.340000000004"/>
    <s v="UniqloJacket3466337913645387453879.99"/>
    <b v="0"/>
  </r>
  <r>
    <s v="ORD0758"/>
    <x v="3"/>
    <x v="1"/>
    <n v="2264"/>
    <n v="2343"/>
    <n v="58"/>
    <x v="308"/>
    <x v="4"/>
    <d v="2024-11-18T00:00:00"/>
    <n v="22.69"/>
    <n v="51370.16"/>
    <s v="ZaraHoodie2264234358456144561422.69"/>
    <b v="0"/>
  </r>
  <r>
    <s v="ORD0759"/>
    <x v="1"/>
    <x v="2"/>
    <n v="4222"/>
    <n v="4251"/>
    <n v="249"/>
    <x v="152"/>
    <x v="11"/>
    <d v="2024-12-02T00:00:00"/>
    <n v="11.49"/>
    <n v="48510.78"/>
    <s v="UniqloShirt42224251249456284562811.49"/>
    <b v="0"/>
  </r>
  <r>
    <s v="ORD0760"/>
    <x v="3"/>
    <x v="2"/>
    <n v="1478"/>
    <n v="1406"/>
    <n v="80"/>
    <x v="38"/>
    <x v="7"/>
    <d v="2024-01-22T00:00:00"/>
    <n v="21.11"/>
    <n v="31200.579999999998"/>
    <s v="ZaraShirt1478140680453134531321.11"/>
    <b v="0"/>
  </r>
  <r>
    <s v="ORD0761"/>
    <x v="0"/>
    <x v="1"/>
    <n v="4551"/>
    <n v="4356"/>
    <n v="232"/>
    <x v="196"/>
    <x v="7"/>
    <d v="2024-01-03T00:00:00"/>
    <n v="14.09"/>
    <n v="64123.59"/>
    <s v="H&amp;MHoodie45514356232452944529414.09"/>
    <b v="0"/>
  </r>
  <r>
    <s v="ORD0762"/>
    <x v="1"/>
    <x v="1"/>
    <n v="2623"/>
    <n v="2620"/>
    <n v="152"/>
    <x v="268"/>
    <x v="5"/>
    <d v="2024-08-20T00:00:00"/>
    <n v="7.41"/>
    <n v="19436.43"/>
    <s v="UniqloHoodie2623262015245524455247.41"/>
    <b v="0"/>
  </r>
  <r>
    <s v="ORD0763"/>
    <x v="3"/>
    <x v="3"/>
    <n v="2314"/>
    <n v="2105"/>
    <n v="151"/>
    <x v="290"/>
    <x v="6"/>
    <d v="2024-09-17T00:00:00"/>
    <n v="13.4"/>
    <n v="31007.600000000002"/>
    <s v="ZaraT-shirt23142105151455474555213.4"/>
    <b v="0"/>
  </r>
  <r>
    <s v="ORD0764"/>
    <x v="3"/>
    <x v="0"/>
    <n v="4625"/>
    <n v="4701"/>
    <n v="89"/>
    <x v="106"/>
    <x v="7"/>
    <d v="2024-01-25T00:00:00"/>
    <n v="16.309999999999999"/>
    <n v="75433.75"/>
    <s v="ZaraJeans4625470189453164531616.31"/>
    <b v="0"/>
  </r>
  <r>
    <s v="ORD0765"/>
    <x v="1"/>
    <x v="3"/>
    <n v="1217"/>
    <n v="1227"/>
    <n v="71"/>
    <x v="309"/>
    <x v="0"/>
    <d v="2024-05-06T00:00:00"/>
    <n v="11.81"/>
    <n v="14372.77"/>
    <s v="UniqloT-shirt1217122771454184541811.81"/>
    <b v="0"/>
  </r>
  <r>
    <s v="ORD0766"/>
    <x v="1"/>
    <x v="3"/>
    <n v="1548"/>
    <n v="1546"/>
    <n v="80"/>
    <x v="16"/>
    <x v="9"/>
    <d v="2024-04-08T00:00:00"/>
    <n v="8.26"/>
    <n v="12786.48"/>
    <s v="UniqloT-shirt154815468045390453908.26"/>
    <b v="0"/>
  </r>
  <r>
    <s v="ORD0767"/>
    <x v="3"/>
    <x v="0"/>
    <n v="2120"/>
    <n v="2173"/>
    <n v="169"/>
    <x v="254"/>
    <x v="2"/>
    <d v="2024-03-04T00:00:00"/>
    <n v="7.71"/>
    <n v="16345.2"/>
    <s v="ZaraJeans2120217316945355453557.71"/>
    <b v="0"/>
  </r>
  <r>
    <s v="ORD0768"/>
    <x v="4"/>
    <x v="3"/>
    <n v="1477"/>
    <n v="1340"/>
    <n v="17"/>
    <x v="298"/>
    <x v="7"/>
    <d v="2024-01-18T00:00:00"/>
    <n v="16.48"/>
    <n v="24340.959999999999"/>
    <s v="PrimarkT-shirt1477134017453094530916.48"/>
    <b v="0"/>
  </r>
  <r>
    <s v="ORD0769"/>
    <x v="1"/>
    <x v="1"/>
    <n v="1512"/>
    <n v="1526"/>
    <n v="116"/>
    <x v="72"/>
    <x v="6"/>
    <d v="2024-09-02T00:00:00"/>
    <n v="20.63"/>
    <n v="31192.559999999998"/>
    <s v="UniqloHoodie15121526116455304553720.63"/>
    <b v="0"/>
  </r>
  <r>
    <s v="ORD0770"/>
    <x v="0"/>
    <x v="2"/>
    <n v="2845"/>
    <n v="2811"/>
    <n v="106"/>
    <x v="150"/>
    <x v="0"/>
    <d v="2024-05-09T00:00:00"/>
    <n v="24.48"/>
    <n v="69645.600000000006"/>
    <s v="H&amp;MShirt28452811106454214542124.48"/>
    <b v="0"/>
  </r>
  <r>
    <s v="ORD0771"/>
    <x v="0"/>
    <x v="4"/>
    <n v="2830"/>
    <n v="2787"/>
    <n v="174"/>
    <x v="133"/>
    <x v="2"/>
    <d v="2024-03-10T00:00:00"/>
    <n v="7.64"/>
    <n v="21621.200000000001"/>
    <s v="H&amp;MJacket2830278717445354453617.64"/>
    <b v="0"/>
  </r>
  <r>
    <s v="ORD0772"/>
    <x v="0"/>
    <x v="3"/>
    <n v="2559"/>
    <n v="2460"/>
    <n v="52"/>
    <x v="199"/>
    <x v="1"/>
    <d v="2024-10-20T00:00:00"/>
    <n v="9.44"/>
    <n v="24156.959999999999"/>
    <s v="H&amp;MT-shirt255924605245583455859.44"/>
    <b v="0"/>
  </r>
  <r>
    <s v="ORD0773"/>
    <x v="0"/>
    <x v="3"/>
    <n v="1019"/>
    <n v="1059"/>
    <n v="17"/>
    <x v="55"/>
    <x v="11"/>
    <d v="2024-12-19T00:00:00"/>
    <n v="14"/>
    <n v="14266"/>
    <s v="H&amp;MT-shirt1019105917456404564514"/>
    <b v="0"/>
  </r>
  <r>
    <s v="ORD0774"/>
    <x v="3"/>
    <x v="3"/>
    <n v="4671"/>
    <n v="4405"/>
    <n v="130"/>
    <x v="310"/>
    <x v="2"/>
    <d v="2024-03-13T00:00:00"/>
    <n v="11.64"/>
    <n v="54370.44"/>
    <s v="ZaraT-shirt46714405130453624536411.64"/>
    <b v="0"/>
  </r>
  <r>
    <s v="ORD0775"/>
    <x v="0"/>
    <x v="2"/>
    <n v="3695"/>
    <n v="3746"/>
    <n v="228"/>
    <x v="311"/>
    <x v="1"/>
    <d v="2024-10-03T00:00:00"/>
    <n v="14.69"/>
    <n v="54279.549999999996"/>
    <s v="H&amp;MShirt36953746228455664556814.69"/>
    <b v="0"/>
  </r>
  <r>
    <s v="ORD0776"/>
    <x v="1"/>
    <x v="2"/>
    <n v="3592"/>
    <n v="3666"/>
    <n v="231"/>
    <x v="31"/>
    <x v="0"/>
    <d v="2024-05-27T00:00:00"/>
    <n v="8.08"/>
    <n v="29023.360000000001"/>
    <s v="UniqloShirt3592366623145439454398.08"/>
    <b v="0"/>
  </r>
  <r>
    <s v="ORD0777"/>
    <x v="4"/>
    <x v="1"/>
    <n v="1687"/>
    <n v="1621"/>
    <n v="30"/>
    <x v="168"/>
    <x v="11"/>
    <d v="2024-12-24T00:00:00"/>
    <n v="8.43"/>
    <n v="14221.41"/>
    <s v="PrimarkHoodie168716213045647456508.43"/>
    <b v="0"/>
  </r>
  <r>
    <s v="ORD0778"/>
    <x v="0"/>
    <x v="4"/>
    <n v="544"/>
    <n v="517"/>
    <n v="34"/>
    <x v="197"/>
    <x v="5"/>
    <d v="2024-08-09T00:00:00"/>
    <n v="9.93"/>
    <n v="5401.92"/>
    <s v="H&amp;MJacket5445173445512455139.93"/>
    <b v="0"/>
  </r>
  <r>
    <s v="ORD0779"/>
    <x v="1"/>
    <x v="1"/>
    <n v="3081"/>
    <n v="2928"/>
    <n v="93"/>
    <x v="249"/>
    <x v="8"/>
    <d v="2024-02-10T00:00:00"/>
    <n v="7.44"/>
    <n v="22922.639999999999"/>
    <s v="UniqloHoodie308129289345329453327.44"/>
    <b v="0"/>
  </r>
  <r>
    <s v="ORD0780"/>
    <x v="0"/>
    <x v="4"/>
    <n v="3906"/>
    <n v="3999"/>
    <n v="228"/>
    <x v="243"/>
    <x v="11"/>
    <d v="2024-12-05T00:00:00"/>
    <n v="21.49"/>
    <n v="83939.939999999988"/>
    <s v="H&amp;MJacket39063999228456294563121.49"/>
    <b v="0"/>
  </r>
  <r>
    <s v="ORD0781"/>
    <x v="0"/>
    <x v="1"/>
    <n v="1415"/>
    <n v="1412"/>
    <n v="67"/>
    <x v="130"/>
    <x v="4"/>
    <d v="2024-11-21T00:00:00"/>
    <n v="6.64"/>
    <n v="9395.6"/>
    <s v="H&amp;MHoodie141514126745615456176.64"/>
    <b v="0"/>
  </r>
  <r>
    <s v="ORD0782"/>
    <x v="4"/>
    <x v="2"/>
    <n v="3871"/>
    <n v="3531"/>
    <n v="280"/>
    <x v="15"/>
    <x v="0"/>
    <d v="2024-05-15T00:00:00"/>
    <n v="8.1199999999999992"/>
    <n v="31432.519999999997"/>
    <s v="PrimarkShirt3871353128045426454278.12"/>
    <b v="0"/>
  </r>
  <r>
    <s v="ORD0783"/>
    <x v="2"/>
    <x v="1"/>
    <n v="1670"/>
    <n v="1545"/>
    <n v="53"/>
    <x v="191"/>
    <x v="11"/>
    <d v="2024-12-08T00:00:00"/>
    <n v="20.23"/>
    <n v="33784.1"/>
    <s v="GapHoodie1670154553456324563420.23"/>
    <b v="0"/>
  </r>
  <r>
    <s v="ORD0784"/>
    <x v="0"/>
    <x v="4"/>
    <n v="2962"/>
    <n v="2794"/>
    <n v="119"/>
    <x v="287"/>
    <x v="0"/>
    <d v="2024-05-17T00:00:00"/>
    <n v="17.39"/>
    <n v="51509.18"/>
    <s v="H&amp;MJacket29622794119454294542917.39"/>
    <b v="0"/>
  </r>
  <r>
    <s v="ORD0785"/>
    <x v="3"/>
    <x v="3"/>
    <n v="2863"/>
    <n v="2862"/>
    <n v="128"/>
    <x v="189"/>
    <x v="6"/>
    <d v="2024-09-06T00:00:00"/>
    <n v="17.899999999999999"/>
    <n v="51247.7"/>
    <s v="ZaraT-shirt28632862128455364554117.9"/>
    <b v="0"/>
  </r>
  <r>
    <s v="ORD0786"/>
    <x v="2"/>
    <x v="3"/>
    <n v="3678"/>
    <n v="3464"/>
    <n v="65"/>
    <x v="312"/>
    <x v="4"/>
    <d v="2024-11-22T00:00:00"/>
    <n v="6.99"/>
    <n v="25709.22"/>
    <s v="GapT-shirt367834646545618456186.99"/>
    <b v="0"/>
  </r>
  <r>
    <s v="ORD0787"/>
    <x v="4"/>
    <x v="4"/>
    <n v="4450"/>
    <n v="4551"/>
    <n v="58"/>
    <x v="286"/>
    <x v="11"/>
    <d v="2024-12-20T00:00:00"/>
    <n v="22.8"/>
    <n v="101460"/>
    <s v="PrimarkJacket4450455158456394564622.8"/>
    <b v="0"/>
  </r>
  <r>
    <s v="ORD0788"/>
    <x v="4"/>
    <x v="2"/>
    <n v="820"/>
    <n v="818"/>
    <n v="52"/>
    <x v="284"/>
    <x v="9"/>
    <d v="2024-04-22T00:00:00"/>
    <n v="20.83"/>
    <n v="17080.599999999999"/>
    <s v="PrimarkShirt82081852453974540420.83"/>
    <b v="0"/>
  </r>
  <r>
    <s v="ORD0789"/>
    <x v="3"/>
    <x v="1"/>
    <n v="1631"/>
    <n v="1482"/>
    <n v="44"/>
    <x v="209"/>
    <x v="4"/>
    <d v="2024-11-28T00:00:00"/>
    <n v="6.87"/>
    <n v="11204.97"/>
    <s v="ZaraHoodie163114824445622456246.87"/>
    <b v="0"/>
  </r>
  <r>
    <s v="ORD0790"/>
    <x v="3"/>
    <x v="1"/>
    <n v="511"/>
    <n v="471"/>
    <n v="34"/>
    <x v="313"/>
    <x v="4"/>
    <d v="2024-11-07T00:00:00"/>
    <n v="23.88"/>
    <n v="12202.68"/>
    <s v="ZaraHoodie51147134455964560323.88"/>
    <b v="0"/>
  </r>
  <r>
    <s v="ORD0791"/>
    <x v="3"/>
    <x v="1"/>
    <n v="2577"/>
    <n v="2465"/>
    <n v="49"/>
    <x v="314"/>
    <x v="6"/>
    <d v="2024-09-23T00:00:00"/>
    <n v="5.37"/>
    <n v="13838.49"/>
    <s v="ZaraHoodie257724654945557455585.37"/>
    <b v="0"/>
  </r>
  <r>
    <s v="ORD0792"/>
    <x v="1"/>
    <x v="2"/>
    <n v="797"/>
    <n v="745"/>
    <n v="40"/>
    <x v="153"/>
    <x v="8"/>
    <d v="2024-02-16T00:00:00"/>
    <n v="19.940000000000001"/>
    <n v="15892.18"/>
    <s v="UniqloShirt79774540453334533819.94"/>
    <b v="0"/>
  </r>
  <r>
    <s v="ORD0793"/>
    <x v="3"/>
    <x v="1"/>
    <n v="1769"/>
    <n v="1626"/>
    <n v="85"/>
    <x v="306"/>
    <x v="11"/>
    <d v="2024-12-28T00:00:00"/>
    <n v="21.99"/>
    <n v="38900.31"/>
    <s v="ZaraHoodie1769162685456544565421.99"/>
    <b v="0"/>
  </r>
  <r>
    <s v="ORD0794"/>
    <x v="2"/>
    <x v="1"/>
    <n v="4931"/>
    <n v="4690"/>
    <n v="204"/>
    <x v="100"/>
    <x v="2"/>
    <d v="2024-03-14T00:00:00"/>
    <n v="23.58"/>
    <n v="116272.98"/>
    <s v="GapHoodie49314690204453644536523.58"/>
    <b v="0"/>
  </r>
  <r>
    <s v="ORD0795"/>
    <x v="4"/>
    <x v="0"/>
    <n v="2381"/>
    <n v="2147"/>
    <n v="33"/>
    <x v="315"/>
    <x v="1"/>
    <d v="2024-10-07T00:00:00"/>
    <n v="10.17"/>
    <n v="24214.77"/>
    <s v="PrimarkJeans2381214733455674557210.17"/>
    <b v="0"/>
  </r>
  <r>
    <s v="ORD0796"/>
    <x v="4"/>
    <x v="2"/>
    <n v="4655"/>
    <n v="4732"/>
    <n v="270"/>
    <x v="233"/>
    <x v="3"/>
    <d v="2024-06-07T00:00:00"/>
    <n v="19.489999999999998"/>
    <n v="90725.95"/>
    <s v="PrimarkShirt46554732270454504545019.49"/>
    <b v="0"/>
  </r>
  <r>
    <s v="ORD0797"/>
    <x v="2"/>
    <x v="1"/>
    <n v="1026"/>
    <n v="1060"/>
    <n v="53"/>
    <x v="29"/>
    <x v="1"/>
    <d v="2024-10-08T00:00:00"/>
    <n v="16.28"/>
    <n v="16703.280000000002"/>
    <s v="GapHoodie1026106053455714557316.28"/>
    <b v="0"/>
  </r>
  <r>
    <s v="ORD0798"/>
    <x v="3"/>
    <x v="4"/>
    <n v="4477"/>
    <n v="4396"/>
    <n v="302"/>
    <x v="253"/>
    <x v="3"/>
    <d v="2024-06-17T00:00:00"/>
    <n v="7.55"/>
    <n v="33801.35"/>
    <s v="ZaraJacket4477439630245453454607.55"/>
    <b v="0"/>
  </r>
  <r>
    <s v="ORD0799"/>
    <x v="2"/>
    <x v="4"/>
    <n v="2861"/>
    <n v="2749"/>
    <n v="55"/>
    <x v="38"/>
    <x v="7"/>
    <d v="2024-01-25T00:00:00"/>
    <n v="19.29"/>
    <n v="55188.689999999995"/>
    <s v="GapJacket2861274955453134531619.29"/>
    <b v="0"/>
  </r>
  <r>
    <s v="ORD0800"/>
    <x v="1"/>
    <x v="2"/>
    <n v="3186"/>
    <n v="3200"/>
    <n v="233"/>
    <x v="186"/>
    <x v="3"/>
    <d v="2024-06-13T00:00:00"/>
    <n v="20.84"/>
    <n v="66396.240000000005"/>
    <s v="UniqloShirt31863200233454554545620.84"/>
    <b v="0"/>
  </r>
  <r>
    <s v="ORD0801"/>
    <x v="3"/>
    <x v="2"/>
    <n v="694"/>
    <n v="651"/>
    <n v="40"/>
    <x v="226"/>
    <x v="3"/>
    <d v="2024-06-04T00:00:00"/>
    <n v="6.63"/>
    <n v="4601.22"/>
    <s v="ZaraShirt6946514045440454476.63"/>
    <b v="0"/>
  </r>
  <r>
    <s v="ORD0802"/>
    <x v="2"/>
    <x v="1"/>
    <n v="4314"/>
    <n v="3893"/>
    <n v="237"/>
    <x v="220"/>
    <x v="2"/>
    <d v="2024-03-30T00:00:00"/>
    <n v="11.47"/>
    <n v="49481.58"/>
    <s v="GapHoodie43143893237453784538111.47"/>
    <b v="0"/>
  </r>
  <r>
    <s v="ORD0803"/>
    <x v="1"/>
    <x v="2"/>
    <n v="2864"/>
    <n v="2724"/>
    <n v="52"/>
    <x v="276"/>
    <x v="3"/>
    <d v="2024-06-20T00:00:00"/>
    <n v="6.89"/>
    <n v="19732.96"/>
    <s v="UniqloShirt286427245245460454636.89"/>
    <b v="0"/>
  </r>
  <r>
    <s v="ORD0804"/>
    <x v="1"/>
    <x v="2"/>
    <n v="1109"/>
    <n v="1051"/>
    <n v="76"/>
    <x v="290"/>
    <x v="6"/>
    <d v="2024-09-12T00:00:00"/>
    <n v="17.899999999999999"/>
    <n v="19851.099999999999"/>
    <s v="UniqloShirt1109105176455474554717.9"/>
    <b v="0"/>
  </r>
  <r>
    <s v="ORD0805"/>
    <x v="0"/>
    <x v="1"/>
    <n v="2753"/>
    <n v="2526"/>
    <n v="25"/>
    <x v="231"/>
    <x v="6"/>
    <d v="2024-09-30T00:00:00"/>
    <n v="19.239999999999998"/>
    <n v="52967.719999999994"/>
    <s v="H&amp;MHoodie2753252625455644556519.24"/>
    <b v="0"/>
  </r>
  <r>
    <s v="ORD0806"/>
    <x v="4"/>
    <x v="1"/>
    <n v="4678"/>
    <n v="4314"/>
    <n v="70"/>
    <x v="182"/>
    <x v="6"/>
    <d v="2024-09-08T00:00:00"/>
    <n v="21.31"/>
    <n v="99688.18"/>
    <s v="PrimarkHoodie4678431470455424554321.31"/>
    <b v="0"/>
  </r>
  <r>
    <s v="ORD0807"/>
    <x v="1"/>
    <x v="2"/>
    <n v="2838"/>
    <n v="2936"/>
    <n v="143"/>
    <x v="316"/>
    <x v="9"/>
    <d v="2024-04-07T00:00:00"/>
    <n v="21.25"/>
    <n v="60307.5"/>
    <s v="UniqloShirt28382936143453864538921.25"/>
    <b v="0"/>
  </r>
  <r>
    <s v="ORD0808"/>
    <x v="0"/>
    <x v="1"/>
    <n v="2485"/>
    <n v="2462"/>
    <n v="91"/>
    <x v="140"/>
    <x v="6"/>
    <d v="2024-09-03T00:00:00"/>
    <n v="9.81"/>
    <n v="24377.850000000002"/>
    <s v="H&amp;MHoodie248524629145538455389.81"/>
    <b v="0"/>
  </r>
  <r>
    <s v="ORD0809"/>
    <x v="4"/>
    <x v="4"/>
    <n v="4578"/>
    <n v="4790"/>
    <n v="183"/>
    <x v="317"/>
    <x v="7"/>
    <d v="2024-01-16T00:00:00"/>
    <n v="6.75"/>
    <n v="30901.5"/>
    <s v="PrimarkJacket4578479018345307453076.75"/>
    <b v="0"/>
  </r>
  <r>
    <s v="ORD0810"/>
    <x v="3"/>
    <x v="3"/>
    <n v="4103"/>
    <n v="4051"/>
    <n v="270"/>
    <x v="98"/>
    <x v="9"/>
    <d v="2024-04-20T00:00:00"/>
    <n v="11.54"/>
    <n v="47348.619999999995"/>
    <s v="ZaraT-shirt41034051270454024540211.54"/>
    <b v="0"/>
  </r>
  <r>
    <s v="ORD0811"/>
    <x v="4"/>
    <x v="4"/>
    <n v="4496"/>
    <n v="4626"/>
    <n v="238"/>
    <x v="43"/>
    <x v="3"/>
    <d v="2024-06-09T00:00:00"/>
    <n v="18.89"/>
    <n v="84929.44"/>
    <s v="PrimarkJacket44964626238454524545218.89"/>
    <b v="0"/>
  </r>
  <r>
    <s v="ORD0812"/>
    <x v="1"/>
    <x v="2"/>
    <n v="3256"/>
    <n v="3212"/>
    <n v="188"/>
    <x v="100"/>
    <x v="2"/>
    <d v="2024-03-18T00:00:00"/>
    <n v="19.010000000000002"/>
    <n v="61896.560000000005"/>
    <s v="UniqloShirt32563212188453644536919.01"/>
    <b v="0"/>
  </r>
  <r>
    <s v="ORD0813"/>
    <x v="2"/>
    <x v="4"/>
    <n v="742"/>
    <n v="723"/>
    <n v="44"/>
    <x v="73"/>
    <x v="0"/>
    <d v="2024-05-22T00:00:00"/>
    <n v="17.38"/>
    <n v="12895.96"/>
    <s v="GapJacket74272344454324543417.38"/>
    <b v="0"/>
  </r>
  <r>
    <s v="ORD0814"/>
    <x v="0"/>
    <x v="0"/>
    <n v="4012"/>
    <n v="3782"/>
    <n v="155"/>
    <x v="49"/>
    <x v="11"/>
    <d v="2024-12-07T00:00:00"/>
    <n v="17.34"/>
    <n v="69568.08"/>
    <s v="H&amp;MJeans40123782155456334563317.34"/>
    <b v="0"/>
  </r>
  <r>
    <s v="ORD0815"/>
    <x v="1"/>
    <x v="4"/>
    <n v="2758"/>
    <n v="2575"/>
    <n v="125"/>
    <x v="318"/>
    <x v="9"/>
    <d v="2024-04-24T00:00:00"/>
    <n v="15.47"/>
    <n v="42666.26"/>
    <s v="UniqloJacket27582575125454064540615.47"/>
    <b v="0"/>
  </r>
  <r>
    <s v="ORD0816"/>
    <x v="2"/>
    <x v="0"/>
    <n v="4490"/>
    <n v="4435"/>
    <n v="212"/>
    <x v="138"/>
    <x v="5"/>
    <d v="2024-08-05T00:00:00"/>
    <n v="6.72"/>
    <n v="30172.799999999999"/>
    <s v="GapJeans4490443521245502455096.72"/>
    <b v="0"/>
  </r>
  <r>
    <s v="ORD0817"/>
    <x v="3"/>
    <x v="1"/>
    <n v="4562"/>
    <n v="4151"/>
    <n v="55"/>
    <x v="291"/>
    <x v="7"/>
    <d v="2024-01-14T00:00:00"/>
    <n v="10.91"/>
    <n v="49771.42"/>
    <s v="ZaraHoodie4562415155453024530510.91"/>
    <b v="0"/>
  </r>
  <r>
    <s v="ORD0818"/>
    <x v="1"/>
    <x v="1"/>
    <n v="3157"/>
    <n v="3077"/>
    <n v="179"/>
    <x v="307"/>
    <x v="5"/>
    <d v="2024-08-17T00:00:00"/>
    <n v="10.050000000000001"/>
    <n v="31727.850000000002"/>
    <s v="UniqloHoodie31573077179455214552110.05"/>
    <b v="0"/>
  </r>
  <r>
    <s v="ORD0819"/>
    <x v="1"/>
    <x v="0"/>
    <n v="1743"/>
    <n v="1803"/>
    <n v="120"/>
    <x v="266"/>
    <x v="6"/>
    <d v="2024-09-19T00:00:00"/>
    <n v="16.66"/>
    <n v="29038.38"/>
    <s v="UniqloJeans17431803120455544555416.66"/>
    <b v="0"/>
  </r>
  <r>
    <s v="ORD0820"/>
    <x v="2"/>
    <x v="0"/>
    <n v="3888"/>
    <n v="4080"/>
    <n v="240"/>
    <x v="115"/>
    <x v="0"/>
    <d v="2024-05-19T00:00:00"/>
    <n v="20.41"/>
    <n v="79354.080000000002"/>
    <s v="GapJeans38884080240454314543120.41"/>
    <b v="0"/>
  </r>
  <r>
    <s v="ORD0821"/>
    <x v="3"/>
    <x v="0"/>
    <n v="4134"/>
    <n v="4285"/>
    <n v="49"/>
    <x v="224"/>
    <x v="6"/>
    <d v="2024-09-25T00:00:00"/>
    <n v="11.32"/>
    <n v="46796.880000000005"/>
    <s v="ZaraJeans4134428549455604556011.32"/>
    <b v="0"/>
  </r>
  <r>
    <s v="ORD0822"/>
    <x v="4"/>
    <x v="0"/>
    <n v="880"/>
    <n v="884"/>
    <n v="29"/>
    <x v="37"/>
    <x v="2"/>
    <d v="2024-03-22T00:00:00"/>
    <n v="18.510000000000002"/>
    <n v="16288.800000000001"/>
    <s v="PrimarkJeans88088429453664537318.51"/>
    <b v="0"/>
  </r>
  <r>
    <s v="ORD0823"/>
    <x v="3"/>
    <x v="4"/>
    <n v="865"/>
    <n v="818"/>
    <n v="29"/>
    <x v="319"/>
    <x v="1"/>
    <d v="2024-10-05T00:00:00"/>
    <n v="16.010000000000002"/>
    <n v="13848.650000000001"/>
    <s v="ZaraJacket86581829455704557016.01"/>
    <b v="0"/>
  </r>
  <r>
    <s v="ORD0824"/>
    <x v="0"/>
    <x v="1"/>
    <n v="1246"/>
    <n v="1302"/>
    <n v="47"/>
    <x v="242"/>
    <x v="11"/>
    <d v="2024-12-19T00:00:00"/>
    <n v="6.24"/>
    <n v="7775.04"/>
    <s v="H&amp;MHoodie124613024745644456456.24"/>
    <b v="0"/>
  </r>
  <r>
    <s v="ORD0825"/>
    <x v="0"/>
    <x v="3"/>
    <n v="3329"/>
    <n v="3076"/>
    <n v="172"/>
    <x v="36"/>
    <x v="10"/>
    <d v="2024-07-29T00:00:00"/>
    <n v="24.95"/>
    <n v="83058.55"/>
    <s v="H&amp;MT-shirt33293076172454994550224.95"/>
    <b v="0"/>
  </r>
  <r>
    <s v="ORD0826"/>
    <x v="2"/>
    <x v="4"/>
    <n v="3047"/>
    <n v="2925"/>
    <n v="52"/>
    <x v="258"/>
    <x v="11"/>
    <d v="2024-12-23T00:00:00"/>
    <n v="22.67"/>
    <n v="69075.490000000005"/>
    <s v="GapJacket3047292552456494564922.67"/>
    <b v="0"/>
  </r>
  <r>
    <s v="ORD0827"/>
    <x v="4"/>
    <x v="2"/>
    <n v="1006"/>
    <n v="1004"/>
    <n v="41"/>
    <x v="228"/>
    <x v="4"/>
    <d v="2024-11-20T00:00:00"/>
    <n v="17.96"/>
    <n v="18067.760000000002"/>
    <s v="PrimarkShirt1006100441456114561617.96"/>
    <b v="0"/>
  </r>
  <r>
    <s v="ORD0828"/>
    <x v="2"/>
    <x v="2"/>
    <n v="4090"/>
    <n v="4079"/>
    <n v="313"/>
    <x v="287"/>
    <x v="0"/>
    <d v="2024-05-17T00:00:00"/>
    <n v="8.0299999999999994"/>
    <n v="32842.699999999997"/>
    <s v="GapShirt4090407931345429454298.03"/>
    <b v="0"/>
  </r>
  <r>
    <s v="ORD0829"/>
    <x v="2"/>
    <x v="2"/>
    <n v="890"/>
    <n v="871"/>
    <n v="15"/>
    <x v="43"/>
    <x v="3"/>
    <d v="2024-06-09T00:00:00"/>
    <n v="22.36"/>
    <n v="19900.399999999998"/>
    <s v="GapShirt89087115454524545222.36"/>
    <b v="0"/>
  </r>
  <r>
    <s v="ORD0830"/>
    <x v="3"/>
    <x v="0"/>
    <n v="1711"/>
    <n v="1581"/>
    <n v="97"/>
    <x v="9"/>
    <x v="5"/>
    <d v="2024-08-06T00:00:00"/>
    <n v="9.18"/>
    <n v="15706.98"/>
    <s v="ZaraJeans171115819745509455109.18"/>
    <b v="0"/>
  </r>
  <r>
    <s v="ORD0831"/>
    <x v="4"/>
    <x v="4"/>
    <n v="2618"/>
    <n v="2589"/>
    <n v="183"/>
    <x v="213"/>
    <x v="6"/>
    <d v="2024-09-16T00:00:00"/>
    <n v="16.54"/>
    <n v="43301.72"/>
    <s v="PrimarkJacket26182589183455444555116.54"/>
    <b v="0"/>
  </r>
  <r>
    <s v="ORD0832"/>
    <x v="4"/>
    <x v="3"/>
    <n v="4550"/>
    <n v="4296"/>
    <n v="202"/>
    <x v="320"/>
    <x v="8"/>
    <d v="2024-02-04T00:00:00"/>
    <n v="18.57"/>
    <n v="84493.5"/>
    <s v="PrimarkT-shirt45504296202453234532618.57"/>
    <b v="0"/>
  </r>
  <r>
    <s v="ORD0833"/>
    <x v="0"/>
    <x v="2"/>
    <n v="4972"/>
    <n v="4770"/>
    <n v="146"/>
    <x v="321"/>
    <x v="8"/>
    <d v="2024-02-16T00:00:00"/>
    <n v="7.87"/>
    <n v="39129.64"/>
    <s v="H&amp;MShirt4972477014645338453387.87"/>
    <b v="0"/>
  </r>
  <r>
    <s v="ORD0834"/>
    <x v="4"/>
    <x v="2"/>
    <n v="3602"/>
    <n v="3563"/>
    <n v="55"/>
    <x v="200"/>
    <x v="8"/>
    <d v="2024-02-08T00:00:00"/>
    <n v="23.79"/>
    <n v="85691.58"/>
    <s v="PrimarkShirt3602356355453304533023.79"/>
    <b v="0"/>
  </r>
  <r>
    <s v="ORD0835"/>
    <x v="1"/>
    <x v="3"/>
    <n v="4215"/>
    <n v="3920"/>
    <n v="125"/>
    <x v="293"/>
    <x v="6"/>
    <d v="2024-09-27T00:00:00"/>
    <n v="20.83"/>
    <n v="87798.45"/>
    <s v="UniqloT-shirt42153920125455594556220.83"/>
    <b v="0"/>
  </r>
  <r>
    <s v="ORD0836"/>
    <x v="0"/>
    <x v="3"/>
    <n v="1192"/>
    <n v="1107"/>
    <n v="63"/>
    <x v="300"/>
    <x v="11"/>
    <d v="2024-12-16T00:00:00"/>
    <n v="11.46"/>
    <n v="13660.320000000002"/>
    <s v="H&amp;MT-shirt1192110763456374564211.46"/>
    <b v="0"/>
  </r>
  <r>
    <s v="ORD0837"/>
    <x v="2"/>
    <x v="1"/>
    <n v="4320"/>
    <n v="4143"/>
    <n v="216"/>
    <x v="234"/>
    <x v="7"/>
    <d v="2024-01-21T00:00:00"/>
    <n v="21.03"/>
    <n v="90849.600000000006"/>
    <s v="GapHoodie43204143216453104531221.03"/>
    <b v="0"/>
  </r>
  <r>
    <s v="ORD0838"/>
    <x v="4"/>
    <x v="1"/>
    <n v="4485"/>
    <n v="4427"/>
    <n v="334"/>
    <x v="322"/>
    <x v="8"/>
    <d v="2024-02-02T00:00:00"/>
    <n v="18.45"/>
    <n v="82748.25"/>
    <s v="PrimarkHoodie44854427334453244532418.45"/>
    <b v="0"/>
  </r>
  <r>
    <s v="ORD0839"/>
    <x v="2"/>
    <x v="4"/>
    <n v="2047"/>
    <n v="2134"/>
    <n v="24"/>
    <x v="271"/>
    <x v="11"/>
    <d v="2024-12-02T00:00:00"/>
    <n v="24.65"/>
    <n v="50458.549999999996"/>
    <s v="GapJacket2047213424456234562824.65"/>
    <b v="0"/>
  </r>
  <r>
    <s v="ORD0840"/>
    <x v="2"/>
    <x v="1"/>
    <n v="2064"/>
    <n v="1944"/>
    <n v="37"/>
    <x v="135"/>
    <x v="10"/>
    <d v="2024-07-03T00:00:00"/>
    <n v="13.8"/>
    <n v="28483.200000000001"/>
    <s v="GapHoodie2064194437454714547613.8"/>
    <b v="0"/>
  </r>
  <r>
    <s v="ORD0841"/>
    <x v="1"/>
    <x v="2"/>
    <n v="4456"/>
    <n v="4088"/>
    <n v="77"/>
    <x v="129"/>
    <x v="10"/>
    <d v="2024-07-29T00:00:00"/>
    <n v="8.7899999999999991"/>
    <n v="39168.239999999998"/>
    <s v="UniqloShirt445640887745501455028.79"/>
    <b v="0"/>
  </r>
  <r>
    <s v="ORD0842"/>
    <x v="0"/>
    <x v="1"/>
    <n v="921"/>
    <n v="858"/>
    <n v="35"/>
    <x v="291"/>
    <x v="7"/>
    <d v="2024-01-12T00:00:00"/>
    <n v="5.97"/>
    <n v="5498.37"/>
    <s v="H&amp;MHoodie9218583545302453035.97"/>
    <b v="0"/>
  </r>
  <r>
    <s v="ORD0843"/>
    <x v="0"/>
    <x v="2"/>
    <n v="1390"/>
    <n v="1373"/>
    <n v="47"/>
    <x v="38"/>
    <x v="7"/>
    <d v="2024-01-22T00:00:00"/>
    <n v="21"/>
    <n v="29190"/>
    <s v="H&amp;MShirt1390137347453134531321"/>
    <b v="0"/>
  </r>
  <r>
    <s v="ORD0844"/>
    <x v="3"/>
    <x v="4"/>
    <n v="3743"/>
    <n v="3893"/>
    <n v="165"/>
    <x v="323"/>
    <x v="2"/>
    <d v="2024-03-30T00:00:00"/>
    <n v="13.91"/>
    <n v="52065.13"/>
    <s v="ZaraJacket37433893165453764538113.91"/>
    <b v="0"/>
  </r>
  <r>
    <s v="ORD0845"/>
    <x v="2"/>
    <x v="2"/>
    <n v="4739"/>
    <n v="4880"/>
    <n v="105"/>
    <x v="62"/>
    <x v="10"/>
    <d v="2024-07-02T00:00:00"/>
    <n v="13.3"/>
    <n v="63028.700000000004"/>
    <s v="GapShirt47394880105454704547513.3"/>
    <b v="0"/>
  </r>
  <r>
    <s v="ORD0846"/>
    <x v="4"/>
    <x v="0"/>
    <n v="764"/>
    <n v="690"/>
    <n v="46"/>
    <x v="89"/>
    <x v="10"/>
    <d v="2024-07-15T00:00:00"/>
    <n v="21.5"/>
    <n v="16426"/>
    <s v="PrimarkJeans76469046454884548821.5"/>
    <b v="0"/>
  </r>
  <r>
    <s v="ORD0847"/>
    <x v="0"/>
    <x v="1"/>
    <n v="3624"/>
    <n v="3546"/>
    <n v="91"/>
    <x v="10"/>
    <x v="1"/>
    <d v="2024-10-02T00:00:00"/>
    <n v="18.329999999999998"/>
    <n v="66427.92"/>
    <s v="H&amp;MHoodie3624354691455624556718.33"/>
    <b v="0"/>
  </r>
  <r>
    <s v="ORD0848"/>
    <x v="1"/>
    <x v="4"/>
    <n v="1424"/>
    <n v="1284"/>
    <n v="25"/>
    <x v="19"/>
    <x v="8"/>
    <d v="2024-02-03T00:00:00"/>
    <n v="19.850000000000001"/>
    <n v="28266.400000000001"/>
    <s v="UniqloJacket1424128425453204532519.85"/>
    <b v="0"/>
  </r>
  <r>
    <s v="ORD0849"/>
    <x v="1"/>
    <x v="4"/>
    <n v="534"/>
    <n v="484"/>
    <n v="18"/>
    <x v="324"/>
    <x v="0"/>
    <d v="2024-05-26T00:00:00"/>
    <n v="15.23"/>
    <n v="8132.8200000000006"/>
    <s v="UniqloJacket53448418454384543815.23"/>
    <b v="0"/>
  </r>
  <r>
    <s v="ORD0850"/>
    <x v="2"/>
    <x v="2"/>
    <n v="1403"/>
    <n v="1319"/>
    <n v="31"/>
    <x v="62"/>
    <x v="3"/>
    <d v="2024-06-29T00:00:00"/>
    <n v="14.49"/>
    <n v="20329.47"/>
    <s v="GapShirt1403131931454704547214.49"/>
    <b v="0"/>
  </r>
  <r>
    <s v="ORD0851"/>
    <x v="2"/>
    <x v="3"/>
    <n v="1056"/>
    <n v="1038"/>
    <n v="48"/>
    <x v="146"/>
    <x v="7"/>
    <d v="2024-01-10T00:00:00"/>
    <n v="24.89"/>
    <n v="26283.84"/>
    <s v="GapT-shirt1056103848453004530124.89"/>
    <b v="0"/>
  </r>
  <r>
    <s v="ORD0852"/>
    <x v="1"/>
    <x v="1"/>
    <n v="1516"/>
    <n v="1573"/>
    <n v="101"/>
    <x v="170"/>
    <x v="1"/>
    <d v="2024-10-11T00:00:00"/>
    <n v="21.45"/>
    <n v="32518.2"/>
    <s v="UniqloHoodie15161573101455694557621.45"/>
    <b v="0"/>
  </r>
  <r>
    <s v="ORD0853"/>
    <x v="0"/>
    <x v="2"/>
    <n v="1951"/>
    <n v="1769"/>
    <n v="134"/>
    <x v="93"/>
    <x v="4"/>
    <d v="2024-11-02T00:00:00"/>
    <n v="21.84"/>
    <n v="42609.84"/>
    <s v="H&amp;MShirt19511769134455974559821.84"/>
    <b v="0"/>
  </r>
  <r>
    <s v="ORD0854"/>
    <x v="4"/>
    <x v="4"/>
    <n v="4036"/>
    <n v="4114"/>
    <n v="259"/>
    <x v="319"/>
    <x v="1"/>
    <d v="2024-10-05T00:00:00"/>
    <n v="18.61"/>
    <n v="75109.959999999992"/>
    <s v="PrimarkJacket40364114259455704557018.61"/>
    <b v="0"/>
  </r>
  <r>
    <s v="ORD0855"/>
    <x v="2"/>
    <x v="3"/>
    <n v="4729"/>
    <n v="4741"/>
    <n v="362"/>
    <x v="73"/>
    <x v="0"/>
    <d v="2024-05-20T00:00:00"/>
    <n v="7.85"/>
    <n v="37122.65"/>
    <s v="GapT-shirt4729474136245432454327.85"/>
    <b v="0"/>
  </r>
  <r>
    <s v="ORD0856"/>
    <x v="3"/>
    <x v="0"/>
    <n v="2369"/>
    <n v="2233"/>
    <n v="127"/>
    <x v="325"/>
    <x v="9"/>
    <d v="2024-04-01T00:00:00"/>
    <n v="8.4"/>
    <n v="19899.600000000002"/>
    <s v="ZaraJeans2369223312745383453838.4"/>
    <b v="0"/>
  </r>
  <r>
    <s v="ORD0857"/>
    <x v="2"/>
    <x v="0"/>
    <n v="1579"/>
    <n v="1518"/>
    <n v="67"/>
    <x v="201"/>
    <x v="5"/>
    <d v="2024-08-07T00:00:00"/>
    <n v="13.31"/>
    <n v="21016.49"/>
    <s v="GapJeans1579151867455114551113.31"/>
    <b v="0"/>
  </r>
  <r>
    <s v="ORD0858"/>
    <x v="3"/>
    <x v="3"/>
    <n v="1313"/>
    <n v="1376"/>
    <n v="17"/>
    <x v="326"/>
    <x v="7"/>
    <d v="2024-01-13T00:00:00"/>
    <n v="24.36"/>
    <n v="31984.68"/>
    <s v="ZaraT-shirt1313137617452974530424.36"/>
    <b v="0"/>
  </r>
  <r>
    <s v="ORD0859"/>
    <x v="0"/>
    <x v="4"/>
    <n v="4003"/>
    <n v="3671"/>
    <n v="162"/>
    <x v="31"/>
    <x v="0"/>
    <d v="2024-05-30T00:00:00"/>
    <n v="8.39"/>
    <n v="33585.170000000006"/>
    <s v="H&amp;MJacket4003367116245439454428.39"/>
    <b v="0"/>
  </r>
  <r>
    <s v="ORD0860"/>
    <x v="1"/>
    <x v="2"/>
    <n v="1349"/>
    <n v="1375"/>
    <n v="78"/>
    <x v="4"/>
    <x v="3"/>
    <d v="2024-06-28T00:00:00"/>
    <n v="15.94"/>
    <n v="21503.059999999998"/>
    <s v="UniqloShirt1349137578454664547115.94"/>
    <b v="0"/>
  </r>
  <r>
    <s v="ORD0861"/>
    <x v="1"/>
    <x v="2"/>
    <n v="994"/>
    <n v="959"/>
    <n v="51"/>
    <x v="324"/>
    <x v="0"/>
    <d v="2024-05-26T00:00:00"/>
    <n v="17.95"/>
    <n v="17842.3"/>
    <s v="UniqloShirt99495951454384543817.95"/>
    <b v="0"/>
  </r>
  <r>
    <s v="ORD0862"/>
    <x v="4"/>
    <x v="1"/>
    <n v="1498"/>
    <n v="1402"/>
    <n v="99"/>
    <x v="155"/>
    <x v="5"/>
    <d v="2024-08-03T00:00:00"/>
    <n v="21.61"/>
    <n v="32371.78"/>
    <s v="PrimarkHoodie1498140299455074550721.61"/>
    <b v="0"/>
  </r>
  <r>
    <s v="ORD0863"/>
    <x v="3"/>
    <x v="4"/>
    <n v="3434"/>
    <n v="3405"/>
    <n v="38"/>
    <x v="327"/>
    <x v="2"/>
    <d v="2024-03-21T00:00:00"/>
    <n v="8.9"/>
    <n v="30562.600000000002"/>
    <s v="ZaraJacket343434053845367453728.9"/>
    <b v="0"/>
  </r>
  <r>
    <s v="ORD0864"/>
    <x v="2"/>
    <x v="3"/>
    <n v="4303"/>
    <n v="4143"/>
    <n v="209"/>
    <x v="135"/>
    <x v="3"/>
    <d v="2024-06-30T00:00:00"/>
    <n v="21.65"/>
    <n v="93159.95"/>
    <s v="GapT-shirt43034143209454714547321.65"/>
    <b v="0"/>
  </r>
  <r>
    <s v="ORD0865"/>
    <x v="0"/>
    <x v="4"/>
    <n v="3697"/>
    <n v="3360"/>
    <n v="196"/>
    <x v="167"/>
    <x v="3"/>
    <d v="2024-06-23T00:00:00"/>
    <n v="7.8"/>
    <n v="28836.6"/>
    <s v="H&amp;MJacket3697336019645459454667.8"/>
    <b v="0"/>
  </r>
  <r>
    <s v="ORD0866"/>
    <x v="3"/>
    <x v="1"/>
    <n v="4889"/>
    <n v="4695"/>
    <n v="217"/>
    <x v="317"/>
    <x v="7"/>
    <d v="2024-01-17T00:00:00"/>
    <n v="24.93"/>
    <n v="121882.77"/>
    <s v="ZaraHoodie48894695217453074530824.93"/>
    <b v="0"/>
  </r>
  <r>
    <s v="ORD0867"/>
    <x v="1"/>
    <x v="4"/>
    <n v="4579"/>
    <n v="4649"/>
    <n v="369"/>
    <x v="328"/>
    <x v="5"/>
    <d v="2024-08-03T00:00:00"/>
    <n v="5.22"/>
    <n v="23902.379999999997"/>
    <s v="UniqloJacket4579464936945505455075.22"/>
    <b v="0"/>
  </r>
  <r>
    <s v="ORD0868"/>
    <x v="2"/>
    <x v="1"/>
    <n v="3341"/>
    <n v="3461"/>
    <n v="274"/>
    <x v="45"/>
    <x v="0"/>
    <d v="2024-05-30T00:00:00"/>
    <n v="9.17"/>
    <n v="30636.97"/>
    <s v="GapHoodie3341346127445442454429.17"/>
    <b v="0"/>
  </r>
  <r>
    <s v="ORD0869"/>
    <x v="3"/>
    <x v="0"/>
    <n v="4659"/>
    <n v="4703"/>
    <n v="277"/>
    <x v="194"/>
    <x v="2"/>
    <d v="2024-03-17T00:00:00"/>
    <n v="16.78"/>
    <n v="78178.02"/>
    <s v="ZaraJeans46594703277453684536816.78"/>
    <b v="0"/>
  </r>
  <r>
    <s v="ORD0870"/>
    <x v="2"/>
    <x v="0"/>
    <n v="4229"/>
    <n v="4171"/>
    <n v="88"/>
    <x v="134"/>
    <x v="11"/>
    <d v="2024-12-14T00:00:00"/>
    <n v="14.43"/>
    <n v="61024.47"/>
    <s v="GapJeans4229417188456384564014.43"/>
    <b v="0"/>
  </r>
  <r>
    <s v="ORD0871"/>
    <x v="3"/>
    <x v="4"/>
    <n v="3487"/>
    <n v="3248"/>
    <n v="201"/>
    <x v="329"/>
    <x v="3"/>
    <d v="2024-06-23T00:00:00"/>
    <n v="5.5"/>
    <n v="19178.5"/>
    <s v="ZaraJacket3487324820145461454665.5"/>
    <b v="0"/>
  </r>
  <r>
    <s v="ORD0872"/>
    <x v="0"/>
    <x v="2"/>
    <n v="1573"/>
    <n v="1425"/>
    <n v="84"/>
    <x v="189"/>
    <x v="6"/>
    <d v="2024-09-03T00:00:00"/>
    <n v="11.61"/>
    <n v="18262.53"/>
    <s v="H&amp;MShirt1573142584455364553811.61"/>
    <b v="0"/>
  </r>
  <r>
    <s v="ORD0873"/>
    <x v="0"/>
    <x v="4"/>
    <n v="3080"/>
    <n v="3111"/>
    <n v="163"/>
    <x v="250"/>
    <x v="11"/>
    <d v="2024-12-09T00:00:00"/>
    <n v="14.76"/>
    <n v="45460.800000000003"/>
    <s v="H&amp;MJacket30803111163456344563514.76"/>
    <b v="0"/>
  </r>
  <r>
    <s v="ORD0874"/>
    <x v="3"/>
    <x v="3"/>
    <n v="4329"/>
    <n v="4168"/>
    <n v="216"/>
    <x v="106"/>
    <x v="7"/>
    <d v="2024-01-25T00:00:00"/>
    <n v="15.27"/>
    <n v="66103.83"/>
    <s v="ZaraT-shirt43294168216453164531615.27"/>
    <b v="0"/>
  </r>
  <r>
    <s v="ORD0875"/>
    <x v="4"/>
    <x v="4"/>
    <n v="2021"/>
    <n v="1944"/>
    <n v="143"/>
    <x v="37"/>
    <x v="2"/>
    <d v="2024-03-18T00:00:00"/>
    <n v="9.85"/>
    <n v="19906.849999999999"/>
    <s v="PrimarkJacket2021194414345366453699.85"/>
    <b v="0"/>
  </r>
  <r>
    <s v="ORD0876"/>
    <x v="3"/>
    <x v="2"/>
    <n v="3381"/>
    <n v="3520"/>
    <n v="78"/>
    <x v="110"/>
    <x v="0"/>
    <d v="2024-05-31T00:00:00"/>
    <n v="14.43"/>
    <n v="48787.83"/>
    <s v="ZaraShirt3381352078454434544314.43"/>
    <b v="0"/>
  </r>
  <r>
    <s v="ORD0877"/>
    <x v="1"/>
    <x v="3"/>
    <n v="4741"/>
    <n v="4774"/>
    <n v="168"/>
    <x v="235"/>
    <x v="8"/>
    <d v="2024-02-07T00:00:00"/>
    <n v="7.51"/>
    <n v="35604.909999999996"/>
    <s v="UniqloT-shirt4741477416845326453297.51"/>
    <b v="0"/>
  </r>
  <r>
    <s v="ORD0878"/>
    <x v="4"/>
    <x v="3"/>
    <n v="2548"/>
    <n v="2368"/>
    <n v="27"/>
    <x v="185"/>
    <x v="11"/>
    <d v="2024-12-17T00:00:00"/>
    <n v="22.23"/>
    <n v="56642.04"/>
    <s v="PrimarkT-shirt2548236827456364564322.23"/>
    <b v="0"/>
  </r>
  <r>
    <s v="ORD0879"/>
    <x v="3"/>
    <x v="0"/>
    <n v="2261"/>
    <n v="2247"/>
    <n v="149"/>
    <x v="143"/>
    <x v="3"/>
    <d v="2024-06-30T00:00:00"/>
    <n v="17.23"/>
    <n v="38957.03"/>
    <s v="ZaraJeans22612247149454734547317.23"/>
    <b v="0"/>
  </r>
  <r>
    <s v="ORD0880"/>
    <x v="2"/>
    <x v="4"/>
    <n v="3388"/>
    <n v="3339"/>
    <n v="75"/>
    <x v="108"/>
    <x v="5"/>
    <d v="2024-08-30T00:00:00"/>
    <n v="10.38"/>
    <n v="35167.440000000002"/>
    <s v="GapJacket3388333975455274553410.38"/>
    <b v="0"/>
  </r>
  <r>
    <s v="ORD0881"/>
    <x v="3"/>
    <x v="4"/>
    <n v="1962"/>
    <n v="1879"/>
    <n v="76"/>
    <x v="198"/>
    <x v="7"/>
    <d v="2024-01-21T00:00:00"/>
    <n v="16.88"/>
    <n v="33118.559999999998"/>
    <s v="ZaraJacket1962187976453124531216.88"/>
    <b v="0"/>
  </r>
  <r>
    <s v="ORD0882"/>
    <x v="1"/>
    <x v="2"/>
    <n v="2014"/>
    <n v="1839"/>
    <n v="40"/>
    <x v="330"/>
    <x v="5"/>
    <d v="2024-08-31T00:00:00"/>
    <n v="15.36"/>
    <n v="30935.039999999997"/>
    <s v="UniqloShirt2014183940455354553515.36"/>
    <b v="0"/>
  </r>
  <r>
    <s v="ORD0883"/>
    <x v="4"/>
    <x v="1"/>
    <n v="3147"/>
    <n v="3021"/>
    <n v="201"/>
    <x v="278"/>
    <x v="10"/>
    <d v="2024-07-16T00:00:00"/>
    <n v="5.28"/>
    <n v="16616.16"/>
    <s v="PrimarkHoodie3147302120145482454895.28"/>
    <b v="0"/>
  </r>
  <r>
    <s v="ORD0884"/>
    <x v="0"/>
    <x v="1"/>
    <n v="3168"/>
    <n v="3230"/>
    <n v="243"/>
    <x v="16"/>
    <x v="9"/>
    <d v="2024-04-08T00:00:00"/>
    <n v="5.4"/>
    <n v="17107.2"/>
    <s v="H&amp;MHoodie3168323024345390453905.4"/>
    <b v="0"/>
  </r>
  <r>
    <s v="ORD0885"/>
    <x v="0"/>
    <x v="4"/>
    <n v="3832"/>
    <n v="3773"/>
    <n v="212"/>
    <x v="259"/>
    <x v="7"/>
    <d v="2024-01-14T00:00:00"/>
    <n v="18.579999999999998"/>
    <n v="71198.559999999998"/>
    <s v="H&amp;MJacket38323773212453044530518.58"/>
    <b v="0"/>
  </r>
  <r>
    <s v="ORD0886"/>
    <x v="1"/>
    <x v="4"/>
    <n v="3760"/>
    <n v="3545"/>
    <n v="253"/>
    <x v="290"/>
    <x v="6"/>
    <d v="2024-09-12T00:00:00"/>
    <n v="5.98"/>
    <n v="22484.800000000003"/>
    <s v="UniqloJacket3760354525345547455475.98"/>
    <b v="0"/>
  </r>
  <r>
    <s v="ORD0887"/>
    <x v="2"/>
    <x v="1"/>
    <n v="1640"/>
    <n v="1476"/>
    <n v="108"/>
    <x v="186"/>
    <x v="3"/>
    <d v="2024-06-19T00:00:00"/>
    <n v="5.49"/>
    <n v="9003.6"/>
    <s v="GapHoodie1640147610845455454625.49"/>
    <b v="0"/>
  </r>
  <r>
    <s v="ORD0888"/>
    <x v="4"/>
    <x v="1"/>
    <n v="3839"/>
    <n v="3660"/>
    <n v="270"/>
    <x v="173"/>
    <x v="10"/>
    <d v="2024-07-17T00:00:00"/>
    <n v="5.81"/>
    <n v="22304.59"/>
    <s v="PrimarkHoodie3839366027045490454905.81"/>
    <b v="0"/>
  </r>
  <r>
    <s v="ORD0889"/>
    <x v="4"/>
    <x v="2"/>
    <n v="2281"/>
    <n v="2193"/>
    <n v="54"/>
    <x v="191"/>
    <x v="11"/>
    <d v="2024-12-11T00:00:00"/>
    <n v="24.53"/>
    <n v="55952.93"/>
    <s v="PrimarkShirt2281219354456324563724.53"/>
    <b v="0"/>
  </r>
  <r>
    <s v="ORD0890"/>
    <x v="1"/>
    <x v="2"/>
    <n v="4240"/>
    <n v="4008"/>
    <n v="259"/>
    <x v="247"/>
    <x v="9"/>
    <d v="2024-04-03T00:00:00"/>
    <n v="20.32"/>
    <n v="86156.800000000003"/>
    <s v="UniqloShirt42404008259453804538520.32"/>
    <b v="0"/>
  </r>
  <r>
    <s v="ORD0891"/>
    <x v="4"/>
    <x v="1"/>
    <n v="1287"/>
    <n v="1234"/>
    <n v="23"/>
    <x v="259"/>
    <x v="7"/>
    <d v="2024-01-13T00:00:00"/>
    <n v="18.43"/>
    <n v="23719.41"/>
    <s v="PrimarkHoodie1287123423453044530418.43"/>
    <b v="0"/>
  </r>
  <r>
    <s v="ORD0892"/>
    <x v="4"/>
    <x v="0"/>
    <n v="3418"/>
    <n v="3400"/>
    <n v="206"/>
    <x v="16"/>
    <x v="9"/>
    <d v="2024-04-08T00:00:00"/>
    <n v="12.34"/>
    <n v="42178.12"/>
    <s v="PrimarkJeans34183400206453904539012.34"/>
    <b v="0"/>
  </r>
  <r>
    <s v="ORD0893"/>
    <x v="1"/>
    <x v="2"/>
    <n v="3433"/>
    <n v="3251"/>
    <n v="177"/>
    <x v="53"/>
    <x v="4"/>
    <d v="2024-11-20T00:00:00"/>
    <n v="12.97"/>
    <n v="44526.01"/>
    <s v="UniqloShirt34333251177456094561612.97"/>
    <b v="0"/>
  </r>
  <r>
    <s v="ORD0894"/>
    <x v="0"/>
    <x v="2"/>
    <n v="4979"/>
    <n v="5160"/>
    <n v="185"/>
    <x v="235"/>
    <x v="8"/>
    <d v="2024-02-09T00:00:00"/>
    <n v="20.03"/>
    <n v="99729.37000000001"/>
    <s v="H&amp;MShirt49795160185453264533120.03"/>
    <b v="0"/>
  </r>
  <r>
    <s v="ORD0895"/>
    <x v="0"/>
    <x v="1"/>
    <n v="3417"/>
    <n v="3404"/>
    <n v="40"/>
    <x v="30"/>
    <x v="0"/>
    <d v="2024-05-28T00:00:00"/>
    <n v="20.76"/>
    <n v="70936.92"/>
    <s v="H&amp;MHoodie3417340440454354544020.76"/>
    <b v="0"/>
  </r>
  <r>
    <s v="ORD0896"/>
    <x v="0"/>
    <x v="2"/>
    <n v="4827"/>
    <n v="4932"/>
    <n v="77"/>
    <x v="282"/>
    <x v="2"/>
    <d v="2024-03-23T00:00:00"/>
    <n v="17"/>
    <n v="82059"/>
    <s v="H&amp;MShirt4827493277453744537417"/>
    <b v="0"/>
  </r>
  <r>
    <s v="ORD0897"/>
    <x v="2"/>
    <x v="1"/>
    <n v="1796"/>
    <n v="1697"/>
    <n v="118"/>
    <x v="92"/>
    <x v="8"/>
    <d v="2024-02-04T00:00:00"/>
    <n v="22.14"/>
    <n v="39763.440000000002"/>
    <s v="GapHoodie17961697118453254532622.14"/>
    <b v="0"/>
  </r>
  <r>
    <s v="ORD0898"/>
    <x v="0"/>
    <x v="4"/>
    <n v="4492"/>
    <n v="4657"/>
    <n v="78"/>
    <x v="190"/>
    <x v="0"/>
    <d v="2024-05-05T00:00:00"/>
    <n v="22.07"/>
    <n v="99138.44"/>
    <s v="H&amp;MJacket4492465778454174541722.07"/>
    <b v="0"/>
  </r>
  <r>
    <s v="ORD0899"/>
    <x v="0"/>
    <x v="3"/>
    <n v="1962"/>
    <n v="1913"/>
    <n v="105"/>
    <x v="318"/>
    <x v="9"/>
    <d v="2024-04-27T00:00:00"/>
    <n v="15.21"/>
    <n v="29842.02"/>
    <s v="H&amp;MT-shirt19621913105454064540915.21"/>
    <b v="0"/>
  </r>
  <r>
    <s v="ORD0900"/>
    <x v="4"/>
    <x v="3"/>
    <n v="4053"/>
    <n v="3686"/>
    <n v="82"/>
    <x v="331"/>
    <x v="9"/>
    <d v="2024-04-06T00:00:00"/>
    <n v="5.0999999999999996"/>
    <n v="20670.3"/>
    <s v="PrimarkT-shirt405336868245381453885.1"/>
    <b v="0"/>
  </r>
  <r>
    <s v="ORD0901"/>
    <x v="2"/>
    <x v="2"/>
    <n v="1707"/>
    <n v="1596"/>
    <n v="121"/>
    <x v="34"/>
    <x v="9"/>
    <d v="2024-04-28T00:00:00"/>
    <n v="22.43"/>
    <n v="38288.01"/>
    <s v="GapShirt17071596121454034541022.43"/>
    <b v="0"/>
  </r>
  <r>
    <s v="ORD0902"/>
    <x v="0"/>
    <x v="4"/>
    <n v="4297"/>
    <n v="4420"/>
    <n v="84"/>
    <x v="278"/>
    <x v="10"/>
    <d v="2024-07-16T00:00:00"/>
    <n v="19.100000000000001"/>
    <n v="82072.700000000012"/>
    <s v="H&amp;MJacket4297442084454824548919.1"/>
    <b v="0"/>
  </r>
  <r>
    <s v="ORD0903"/>
    <x v="3"/>
    <x v="0"/>
    <n v="1835"/>
    <n v="1829"/>
    <n v="98"/>
    <x v="11"/>
    <x v="5"/>
    <d v="2024-08-31T00:00:00"/>
    <n v="17.77"/>
    <n v="32607.95"/>
    <s v="ZaraJeans1835182998455284553517.77"/>
    <b v="0"/>
  </r>
  <r>
    <s v="ORD0904"/>
    <x v="4"/>
    <x v="0"/>
    <n v="2830"/>
    <n v="2954"/>
    <n v="74"/>
    <x v="220"/>
    <x v="2"/>
    <d v="2024-03-27T00:00:00"/>
    <n v="6.76"/>
    <n v="19130.8"/>
    <s v="PrimarkJeans283029547445378453786.76"/>
    <b v="0"/>
  </r>
  <r>
    <s v="ORD0905"/>
    <x v="2"/>
    <x v="2"/>
    <n v="1189"/>
    <n v="1141"/>
    <n v="57"/>
    <x v="295"/>
    <x v="10"/>
    <d v="2024-07-27T00:00:00"/>
    <n v="11.16"/>
    <n v="13269.24"/>
    <s v="GapShirt1189114157455004550011.16"/>
    <b v="0"/>
  </r>
  <r>
    <s v="ORD0906"/>
    <x v="4"/>
    <x v="3"/>
    <n v="4003"/>
    <n v="4100"/>
    <n v="279"/>
    <x v="16"/>
    <x v="9"/>
    <d v="2024-04-09T00:00:00"/>
    <n v="19.190000000000001"/>
    <n v="76817.570000000007"/>
    <s v="PrimarkT-shirt40034100279453904539119.19"/>
    <b v="0"/>
  </r>
  <r>
    <s v="ORD0907"/>
    <x v="0"/>
    <x v="0"/>
    <n v="946"/>
    <n v="951"/>
    <n v="70"/>
    <x v="183"/>
    <x v="7"/>
    <d v="2024-01-25T00:00:00"/>
    <n v="7.84"/>
    <n v="7416.6399999999994"/>
    <s v="H&amp;MJeans9469517045315453167.84"/>
    <b v="0"/>
  </r>
  <r>
    <s v="ORD0908"/>
    <x v="3"/>
    <x v="3"/>
    <n v="1573"/>
    <n v="1487"/>
    <n v="48"/>
    <x v="332"/>
    <x v="8"/>
    <d v="2024-02-01T00:00:00"/>
    <n v="6.42"/>
    <n v="10098.66"/>
    <s v="ZaraT-shirt157314874845318453236.42"/>
    <b v="0"/>
  </r>
  <r>
    <s v="ORD0909"/>
    <x v="3"/>
    <x v="4"/>
    <n v="2794"/>
    <n v="2627"/>
    <n v="72"/>
    <x v="78"/>
    <x v="11"/>
    <d v="2024-12-26T00:00:00"/>
    <n v="23.84"/>
    <n v="66608.960000000006"/>
    <s v="ZaraJacket2794262772456524565223.84"/>
    <b v="0"/>
  </r>
  <r>
    <s v="ORD0910"/>
    <x v="4"/>
    <x v="4"/>
    <n v="1483"/>
    <n v="1552"/>
    <n v="78"/>
    <x v="277"/>
    <x v="5"/>
    <d v="2024-08-30T00:00:00"/>
    <n v="24.91"/>
    <n v="36941.53"/>
    <s v="PrimarkJacket1483155278455324553424.91"/>
    <b v="0"/>
  </r>
  <r>
    <s v="ORD0911"/>
    <x v="3"/>
    <x v="3"/>
    <n v="1524"/>
    <n v="1384"/>
    <n v="38"/>
    <x v="55"/>
    <x v="11"/>
    <d v="2024-12-14T00:00:00"/>
    <n v="15.55"/>
    <n v="23698.2"/>
    <s v="ZaraT-shirt1524138438456404564015.55"/>
    <b v="0"/>
  </r>
  <r>
    <s v="ORD0912"/>
    <x v="2"/>
    <x v="3"/>
    <n v="1605"/>
    <n v="1550"/>
    <n v="110"/>
    <x v="213"/>
    <x v="6"/>
    <d v="2024-09-09T00:00:00"/>
    <n v="15.11"/>
    <n v="24251.55"/>
    <s v="GapT-shirt16051550110455444554415.11"/>
    <b v="0"/>
  </r>
  <r>
    <s v="ORD0913"/>
    <x v="2"/>
    <x v="2"/>
    <n v="2561"/>
    <n v="2682"/>
    <n v="73"/>
    <x v="247"/>
    <x v="9"/>
    <d v="2024-04-05T00:00:00"/>
    <n v="6.47"/>
    <n v="16569.669999999998"/>
    <s v="GapShirt256126827345380453876.47"/>
    <b v="0"/>
  </r>
  <r>
    <s v="ORD0914"/>
    <x v="3"/>
    <x v="2"/>
    <n v="3665"/>
    <n v="3526"/>
    <n v="139"/>
    <x v="333"/>
    <x v="1"/>
    <d v="2024-10-19T00:00:00"/>
    <n v="20.7"/>
    <n v="75865.5"/>
    <s v="ZaraShirt36653526139455824558420.7"/>
    <b v="0"/>
  </r>
  <r>
    <s v="ORD0915"/>
    <x v="4"/>
    <x v="0"/>
    <n v="3181"/>
    <n v="3184"/>
    <n v="62"/>
    <x v="150"/>
    <x v="0"/>
    <d v="2024-05-10T00:00:00"/>
    <n v="10.54"/>
    <n v="33527.74"/>
    <s v="PrimarkJeans3181318462454214542210.54"/>
    <b v="0"/>
  </r>
  <r>
    <s v="ORD0916"/>
    <x v="0"/>
    <x v="0"/>
    <n v="1096"/>
    <n v="1095"/>
    <n v="68"/>
    <x v="184"/>
    <x v="4"/>
    <d v="2024-11-22T00:00:00"/>
    <n v="11.23"/>
    <n v="12308.08"/>
    <s v="H&amp;MJeans1096109568456164561811.23"/>
    <b v="0"/>
  </r>
  <r>
    <s v="ORD0917"/>
    <x v="3"/>
    <x v="4"/>
    <n v="4231"/>
    <n v="3808"/>
    <n v="138"/>
    <x v="245"/>
    <x v="10"/>
    <d v="2024-07-21T00:00:00"/>
    <n v="16.420000000000002"/>
    <n v="69473.02"/>
    <s v="ZaraJacket42313808138454924549416.42"/>
    <b v="0"/>
  </r>
  <r>
    <s v="ORD0918"/>
    <x v="4"/>
    <x v="4"/>
    <n v="1949"/>
    <n v="1818"/>
    <n v="18"/>
    <x v="228"/>
    <x v="4"/>
    <d v="2024-11-18T00:00:00"/>
    <n v="23.3"/>
    <n v="45411.700000000004"/>
    <s v="PrimarkJacket1949181818456114561423.3"/>
    <b v="0"/>
  </r>
  <r>
    <s v="ORD0919"/>
    <x v="0"/>
    <x v="3"/>
    <n v="3221"/>
    <n v="2979"/>
    <n v="54"/>
    <x v="298"/>
    <x v="7"/>
    <d v="2024-01-23T00:00:00"/>
    <n v="6.35"/>
    <n v="20453.349999999999"/>
    <s v="H&amp;MT-shirt322129795445309453146.35"/>
    <b v="0"/>
  </r>
  <r>
    <s v="ORD0920"/>
    <x v="0"/>
    <x v="0"/>
    <n v="1012"/>
    <n v="928"/>
    <n v="42"/>
    <x v="188"/>
    <x v="3"/>
    <d v="2024-06-19T00:00:00"/>
    <n v="11.98"/>
    <n v="12123.76"/>
    <s v="H&amp;MJeans101292842454624546211.98"/>
    <b v="0"/>
  </r>
  <r>
    <s v="ORD0921"/>
    <x v="1"/>
    <x v="3"/>
    <n v="2067"/>
    <n v="2080"/>
    <n v="54"/>
    <x v="236"/>
    <x v="10"/>
    <d v="2024-07-09T00:00:00"/>
    <n v="19.989999999999998"/>
    <n v="41319.329999999994"/>
    <s v="UniqloT-shirt2067208054454794548219.99"/>
    <b v="0"/>
  </r>
  <r>
    <s v="ORD0922"/>
    <x v="4"/>
    <x v="1"/>
    <n v="2865"/>
    <n v="2678"/>
    <n v="36"/>
    <x v="288"/>
    <x v="8"/>
    <d v="2024-02-25T00:00:00"/>
    <n v="8.8000000000000007"/>
    <n v="25212.000000000004"/>
    <s v="PrimarkHoodie286526783645347453478.8"/>
    <b v="0"/>
  </r>
  <r>
    <s v="ORD0923"/>
    <x v="1"/>
    <x v="4"/>
    <n v="4011"/>
    <n v="4092"/>
    <n v="138"/>
    <x v="151"/>
    <x v="1"/>
    <d v="2024-10-23T00:00:00"/>
    <n v="13.88"/>
    <n v="55672.68"/>
    <s v="UniqloJacket40114092138455864558813.88"/>
    <b v="0"/>
  </r>
  <r>
    <s v="ORD0924"/>
    <x v="0"/>
    <x v="1"/>
    <n v="925"/>
    <n v="954"/>
    <n v="61"/>
    <x v="21"/>
    <x v="1"/>
    <d v="2024-10-12T00:00:00"/>
    <n v="18.43"/>
    <n v="17047.75"/>
    <s v="H&amp;MHoodie92595461455774557718.43"/>
    <b v="0"/>
  </r>
  <r>
    <s v="ORD0925"/>
    <x v="0"/>
    <x v="2"/>
    <n v="1325"/>
    <n v="1199"/>
    <n v="79"/>
    <x v="266"/>
    <x v="6"/>
    <d v="2024-09-26T00:00:00"/>
    <n v="11.41"/>
    <n v="15118.25"/>
    <s v="H&amp;MShirt1325119979455544556111.41"/>
    <b v="0"/>
  </r>
  <r>
    <s v="ORD0926"/>
    <x v="3"/>
    <x v="4"/>
    <n v="4077"/>
    <n v="3998"/>
    <n v="317"/>
    <x v="306"/>
    <x v="11"/>
    <d v="2024-12-30T00:00:00"/>
    <n v="22.15"/>
    <n v="90305.549999999988"/>
    <s v="ZaraJacket40773998317456544565622.15"/>
    <b v="0"/>
  </r>
  <r>
    <s v="ORD0927"/>
    <x v="3"/>
    <x v="1"/>
    <n v="3464"/>
    <n v="3395"/>
    <n v="238"/>
    <x v="256"/>
    <x v="1"/>
    <d v="2024-10-24T00:00:00"/>
    <n v="11.52"/>
    <n v="39905.279999999999"/>
    <s v="ZaraHoodie34643395238455894558911.52"/>
    <b v="0"/>
  </r>
  <r>
    <s v="ORD0928"/>
    <x v="4"/>
    <x v="0"/>
    <n v="3238"/>
    <n v="2923"/>
    <n v="214"/>
    <x v="165"/>
    <x v="4"/>
    <d v="2024-11-23T00:00:00"/>
    <n v="6.37"/>
    <n v="20626.060000000001"/>
    <s v="PrimarkJeans3238292321445619456196.37"/>
    <b v="0"/>
  </r>
  <r>
    <s v="ORD0929"/>
    <x v="3"/>
    <x v="0"/>
    <n v="740"/>
    <n v="681"/>
    <n v="32"/>
    <x v="334"/>
    <x v="4"/>
    <d v="2024-11-14T00:00:00"/>
    <n v="8.6999999999999993"/>
    <n v="6437.9999999999991"/>
    <s v="ZaraJeans7406813245610456108.7"/>
    <b v="0"/>
  </r>
  <r>
    <s v="ORD0930"/>
    <x v="0"/>
    <x v="0"/>
    <n v="1450"/>
    <n v="1353"/>
    <n v="47"/>
    <x v="85"/>
    <x v="5"/>
    <d v="2024-08-02T00:00:00"/>
    <n v="13.77"/>
    <n v="19966.5"/>
    <s v="H&amp;MJeans1450135347455034550613.77"/>
    <b v="0"/>
  </r>
  <r>
    <s v="ORD0931"/>
    <x v="4"/>
    <x v="1"/>
    <n v="3984"/>
    <n v="4026"/>
    <n v="191"/>
    <x v="160"/>
    <x v="3"/>
    <d v="2024-06-13T00:00:00"/>
    <n v="21.8"/>
    <n v="86851.199999999997"/>
    <s v="PrimarkHoodie39844026191454494545621.8"/>
    <b v="0"/>
  </r>
  <r>
    <s v="ORD0932"/>
    <x v="4"/>
    <x v="0"/>
    <n v="2949"/>
    <n v="2785"/>
    <n v="85"/>
    <x v="17"/>
    <x v="10"/>
    <d v="2024-07-28T00:00:00"/>
    <n v="11.41"/>
    <n v="33648.090000000004"/>
    <s v="PrimarkJeans2949278585454984550111.41"/>
    <b v="0"/>
  </r>
  <r>
    <s v="ORD0933"/>
    <x v="3"/>
    <x v="4"/>
    <n v="1801"/>
    <n v="1814"/>
    <n v="54"/>
    <x v="333"/>
    <x v="1"/>
    <d v="2024-10-17T00:00:00"/>
    <n v="11.53"/>
    <n v="20765.53"/>
    <s v="ZaraJacket1801181454455824558211.53"/>
    <b v="0"/>
  </r>
  <r>
    <s v="ORD0934"/>
    <x v="3"/>
    <x v="2"/>
    <n v="2416"/>
    <n v="2189"/>
    <n v="154"/>
    <x v="118"/>
    <x v="4"/>
    <d v="2024-11-16T00:00:00"/>
    <n v="7.37"/>
    <n v="17805.920000000002"/>
    <s v="ZaraShirt2416218915445612456127.37"/>
    <b v="0"/>
  </r>
  <r>
    <s v="ORD0935"/>
    <x v="4"/>
    <x v="3"/>
    <n v="1396"/>
    <n v="1308"/>
    <n v="91"/>
    <x v="162"/>
    <x v="2"/>
    <d v="2024-03-04T00:00:00"/>
    <n v="8.3800000000000008"/>
    <n v="11698.480000000001"/>
    <s v="PrimarkT-shirt139613089145352453558.38"/>
    <b v="0"/>
  </r>
  <r>
    <s v="ORD0936"/>
    <x v="2"/>
    <x v="4"/>
    <n v="3395"/>
    <n v="3114"/>
    <n v="213"/>
    <x v="231"/>
    <x v="6"/>
    <d v="2024-09-29T00:00:00"/>
    <n v="15.05"/>
    <n v="51094.75"/>
    <s v="GapJacket33953114213455644556415.05"/>
    <b v="0"/>
  </r>
  <r>
    <s v="ORD0937"/>
    <x v="2"/>
    <x v="0"/>
    <n v="4270"/>
    <n v="4411"/>
    <n v="105"/>
    <x v="252"/>
    <x v="4"/>
    <d v="2024-11-30T00:00:00"/>
    <n v="10.68"/>
    <n v="45603.6"/>
    <s v="GapJeans42704411105456264562610.68"/>
    <b v="0"/>
  </r>
  <r>
    <s v="ORD0938"/>
    <x v="3"/>
    <x v="1"/>
    <n v="1504"/>
    <n v="1442"/>
    <n v="69"/>
    <x v="324"/>
    <x v="0"/>
    <d v="2024-05-26T00:00:00"/>
    <n v="8.1999999999999993"/>
    <n v="12332.8"/>
    <s v="ZaraHoodie150414426945438454388.2"/>
    <b v="0"/>
  </r>
  <r>
    <s v="ORD0939"/>
    <x v="2"/>
    <x v="0"/>
    <n v="1533"/>
    <n v="1424"/>
    <n v="58"/>
    <x v="136"/>
    <x v="3"/>
    <d v="2024-06-05T00:00:00"/>
    <n v="21.6"/>
    <n v="33112.800000000003"/>
    <s v="GapJeans1533142458454414544821.6"/>
    <b v="0"/>
  </r>
  <r>
    <s v="ORD0940"/>
    <x v="0"/>
    <x v="0"/>
    <n v="3420"/>
    <n v="3409"/>
    <n v="71"/>
    <x v="28"/>
    <x v="10"/>
    <d v="2024-07-16T00:00:00"/>
    <n v="15.94"/>
    <n v="54514.799999999996"/>
    <s v="H&amp;MJeans3420340971454894548915.94"/>
    <b v="0"/>
  </r>
  <r>
    <s v="ORD0941"/>
    <x v="4"/>
    <x v="3"/>
    <n v="1401"/>
    <n v="1347"/>
    <n v="17"/>
    <x v="252"/>
    <x v="11"/>
    <d v="2024-12-01T00:00:00"/>
    <n v="10.48"/>
    <n v="14682.480000000001"/>
    <s v="PrimarkT-shirt1401134717456264562710.48"/>
    <b v="0"/>
  </r>
  <r>
    <s v="ORD0942"/>
    <x v="3"/>
    <x v="0"/>
    <n v="526"/>
    <n v="501"/>
    <n v="6"/>
    <x v="335"/>
    <x v="10"/>
    <d v="2024-07-10T00:00:00"/>
    <n v="8.58"/>
    <n v="4513.08"/>
    <s v="ZaraJeans526501645483454838.58"/>
    <b v="0"/>
  </r>
  <r>
    <s v="ORD0943"/>
    <x v="0"/>
    <x v="4"/>
    <n v="4780"/>
    <n v="4808"/>
    <n v="217"/>
    <x v="232"/>
    <x v="11"/>
    <d v="2024-12-06T00:00:00"/>
    <n v="21.58"/>
    <n v="103152.4"/>
    <s v="H&amp;MJacket47804808217456274563221.58"/>
    <b v="0"/>
  </r>
  <r>
    <s v="ORD0944"/>
    <x v="4"/>
    <x v="1"/>
    <n v="1305"/>
    <n v="1249"/>
    <n v="80"/>
    <x v="219"/>
    <x v="2"/>
    <d v="2024-03-19T00:00:00"/>
    <n v="11.85"/>
    <n v="15464.25"/>
    <s v="PrimarkHoodie1305124980453704537011.85"/>
    <b v="0"/>
  </r>
  <r>
    <s v="ORD0945"/>
    <x v="2"/>
    <x v="0"/>
    <n v="2960"/>
    <n v="2728"/>
    <n v="206"/>
    <x v="196"/>
    <x v="7"/>
    <d v="2024-01-03T00:00:00"/>
    <n v="23.35"/>
    <n v="69116"/>
    <s v="GapJeans29602728206452944529423.35"/>
    <b v="0"/>
  </r>
  <r>
    <s v="ORD0946"/>
    <x v="1"/>
    <x v="3"/>
    <n v="2579"/>
    <n v="2590"/>
    <n v="193"/>
    <x v="162"/>
    <x v="2"/>
    <d v="2024-03-04T00:00:00"/>
    <n v="21.41"/>
    <n v="55216.39"/>
    <s v="UniqloT-shirt25792590193453524535521.41"/>
    <b v="0"/>
  </r>
  <r>
    <s v="ORD0947"/>
    <x v="1"/>
    <x v="1"/>
    <n v="1703"/>
    <n v="1695"/>
    <n v="59"/>
    <x v="161"/>
    <x v="5"/>
    <d v="2024-08-16T00:00:00"/>
    <n v="7.97"/>
    <n v="13572.91"/>
    <s v="UniqloHoodie170316955945517455207.97"/>
    <b v="0"/>
  </r>
  <r>
    <s v="ORD0948"/>
    <x v="3"/>
    <x v="0"/>
    <n v="3668"/>
    <n v="3409"/>
    <n v="90"/>
    <x v="57"/>
    <x v="10"/>
    <d v="2024-07-29T00:00:00"/>
    <n v="11"/>
    <n v="40348"/>
    <s v="ZaraJeans3668340990454954550211"/>
    <b v="0"/>
  </r>
  <r>
    <s v="ORD0949"/>
    <x v="0"/>
    <x v="0"/>
    <n v="1219"/>
    <n v="1224"/>
    <n v="43"/>
    <x v="295"/>
    <x v="5"/>
    <d v="2024-08-03T00:00:00"/>
    <n v="21.48"/>
    <n v="26184.12"/>
    <s v="H&amp;MJeans1219122443455004550721.48"/>
    <b v="0"/>
  </r>
  <r>
    <s v="ORD0950"/>
    <x v="1"/>
    <x v="2"/>
    <n v="4065"/>
    <n v="3945"/>
    <n v="169"/>
    <x v="193"/>
    <x v="9"/>
    <d v="2024-04-28T00:00:00"/>
    <n v="12.56"/>
    <n v="51056.4"/>
    <s v="UniqloShirt40653945169454054541012.56"/>
    <b v="0"/>
  </r>
  <r>
    <s v="ORD0951"/>
    <x v="2"/>
    <x v="3"/>
    <n v="2560"/>
    <n v="2435"/>
    <n v="140"/>
    <x v="227"/>
    <x v="10"/>
    <d v="2024-07-21T00:00:00"/>
    <n v="5.51"/>
    <n v="14105.599999999999"/>
    <s v="GapT-shirt2560243514045494454945.51"/>
    <b v="0"/>
  </r>
  <r>
    <s v="ORD0952"/>
    <x v="1"/>
    <x v="2"/>
    <n v="3084"/>
    <n v="3057"/>
    <n v="82"/>
    <x v="169"/>
    <x v="11"/>
    <d v="2024-12-16T00:00:00"/>
    <n v="12.74"/>
    <n v="39290.160000000003"/>
    <s v="UniqloShirt3084305782456354564212.74"/>
    <b v="0"/>
  </r>
  <r>
    <s v="ORD0953"/>
    <x v="1"/>
    <x v="3"/>
    <n v="4961"/>
    <n v="4686"/>
    <n v="76"/>
    <x v="150"/>
    <x v="0"/>
    <d v="2024-05-16T00:00:00"/>
    <n v="23.22"/>
    <n v="115194.42"/>
    <s v="UniqloT-shirt4961468676454214542823.22"/>
    <b v="0"/>
  </r>
  <r>
    <s v="ORD0954"/>
    <x v="0"/>
    <x v="0"/>
    <n v="1388"/>
    <n v="1300"/>
    <n v="86"/>
    <x v="231"/>
    <x v="1"/>
    <d v="2024-10-01T00:00:00"/>
    <n v="11.86"/>
    <n v="16461.68"/>
    <s v="H&amp;MJeans1388130086455644556611.86"/>
    <b v="0"/>
  </r>
  <r>
    <s v="ORD0955"/>
    <x v="2"/>
    <x v="4"/>
    <n v="2915"/>
    <n v="2877"/>
    <n v="172"/>
    <x v="336"/>
    <x v="10"/>
    <d v="2024-07-03T00:00:00"/>
    <n v="9.8000000000000007"/>
    <n v="28567.000000000004"/>
    <s v="GapJacket2915287717245474454769.8"/>
    <b v="0"/>
  </r>
  <r>
    <s v="ORD0956"/>
    <x v="1"/>
    <x v="1"/>
    <n v="651"/>
    <n v="593"/>
    <n v="42"/>
    <x v="85"/>
    <x v="5"/>
    <d v="2024-08-01T00:00:00"/>
    <n v="19.579999999999998"/>
    <n v="12746.579999999998"/>
    <s v="UniqloHoodie65159342455034550519.58"/>
    <b v="0"/>
  </r>
  <r>
    <s v="ORD0957"/>
    <x v="0"/>
    <x v="3"/>
    <n v="1056"/>
    <n v="1002"/>
    <n v="36"/>
    <x v="71"/>
    <x v="5"/>
    <d v="2024-08-11T00:00:00"/>
    <n v="20.2"/>
    <n v="21331.200000000001"/>
    <s v="H&amp;MT-shirt1056100236455144551520.2"/>
    <b v="0"/>
  </r>
  <r>
    <s v="ORD0958"/>
    <x v="4"/>
    <x v="0"/>
    <n v="3776"/>
    <n v="3544"/>
    <n v="150"/>
    <x v="234"/>
    <x v="7"/>
    <d v="2024-01-19T00:00:00"/>
    <n v="9.5399999999999991"/>
    <n v="36023.039999999994"/>
    <s v="PrimarkJeans3776354415045310453109.54"/>
    <b v="0"/>
  </r>
  <r>
    <s v="ORD0959"/>
    <x v="0"/>
    <x v="4"/>
    <n v="1677"/>
    <n v="1595"/>
    <n v="123"/>
    <x v="275"/>
    <x v="3"/>
    <d v="2024-06-29T00:00:00"/>
    <n v="13.9"/>
    <n v="23310.3"/>
    <s v="H&amp;MJacket16771595123454724547213.9"/>
    <b v="0"/>
  </r>
  <r>
    <s v="ORD0960"/>
    <x v="3"/>
    <x v="1"/>
    <n v="3357"/>
    <n v="3300"/>
    <n v="102"/>
    <x v="337"/>
    <x v="10"/>
    <d v="2024-07-07T00:00:00"/>
    <n v="13.62"/>
    <n v="45722.34"/>
    <s v="ZaraHoodie33573300102454754548013.62"/>
    <b v="0"/>
  </r>
  <r>
    <s v="ORD0961"/>
    <x v="1"/>
    <x v="3"/>
    <n v="1142"/>
    <n v="1102"/>
    <n v="76"/>
    <x v="32"/>
    <x v="4"/>
    <d v="2024-11-04T00:00:00"/>
    <n v="12.27"/>
    <n v="14012.34"/>
    <s v="UniqloT-shirt1142110276455994560012.27"/>
    <b v="0"/>
  </r>
  <r>
    <s v="ORD0962"/>
    <x v="3"/>
    <x v="2"/>
    <n v="4201"/>
    <n v="4173"/>
    <n v="258"/>
    <x v="280"/>
    <x v="10"/>
    <d v="2024-07-10T00:00:00"/>
    <n v="21.1"/>
    <n v="88641.1"/>
    <s v="ZaraShirt42014173258454804548321.1"/>
    <b v="0"/>
  </r>
  <r>
    <s v="ORD0963"/>
    <x v="2"/>
    <x v="2"/>
    <n v="1652"/>
    <n v="1499"/>
    <n v="57"/>
    <x v="302"/>
    <x v="10"/>
    <d v="2024-07-20T00:00:00"/>
    <n v="18.48"/>
    <n v="30528.959999999999"/>
    <s v="GapShirt1652149957454914549318.48"/>
    <b v="0"/>
  </r>
  <r>
    <s v="ORD0964"/>
    <x v="0"/>
    <x v="1"/>
    <n v="3705"/>
    <n v="3687"/>
    <n v="84"/>
    <x v="46"/>
    <x v="1"/>
    <d v="2024-10-25T00:00:00"/>
    <n v="19.989999999999998"/>
    <n v="74062.95"/>
    <s v="H&amp;MHoodie3705368784455904559019.99"/>
    <b v="0"/>
  </r>
  <r>
    <s v="ORD0965"/>
    <x v="3"/>
    <x v="2"/>
    <n v="4685"/>
    <n v="4635"/>
    <n v="203"/>
    <x v="85"/>
    <x v="5"/>
    <d v="2024-08-04T00:00:00"/>
    <n v="5.54"/>
    <n v="25954.9"/>
    <s v="ZaraShirt4685463520345503455085.54"/>
    <b v="0"/>
  </r>
  <r>
    <s v="ORD0966"/>
    <x v="0"/>
    <x v="0"/>
    <n v="3510"/>
    <n v="3668"/>
    <n v="220"/>
    <x v="158"/>
    <x v="9"/>
    <d v="2024-04-20T00:00:00"/>
    <n v="24.14"/>
    <n v="84731.400000000009"/>
    <s v="H&amp;MJeans35103668220453994540224.14"/>
    <b v="0"/>
  </r>
  <r>
    <s v="ORD0967"/>
    <x v="2"/>
    <x v="2"/>
    <n v="1663"/>
    <n v="1736"/>
    <n v="82"/>
    <x v="88"/>
    <x v="9"/>
    <d v="2024-04-08T00:00:00"/>
    <n v="17.37"/>
    <n v="28886.31"/>
    <s v="GapShirt1663173682453894539017.37"/>
    <b v="0"/>
  </r>
  <r>
    <s v="ORD0968"/>
    <x v="3"/>
    <x v="1"/>
    <n v="2829"/>
    <n v="2762"/>
    <n v="110"/>
    <x v="338"/>
    <x v="5"/>
    <d v="2024-08-21T00:00:00"/>
    <n v="6.08"/>
    <n v="17200.32"/>
    <s v="ZaraHoodie2829276211045525455256.08"/>
    <b v="0"/>
  </r>
  <r>
    <s v="ORD0969"/>
    <x v="3"/>
    <x v="4"/>
    <n v="1602"/>
    <n v="1521"/>
    <n v="56"/>
    <x v="150"/>
    <x v="0"/>
    <d v="2024-05-10T00:00:00"/>
    <n v="7.77"/>
    <n v="12447.539999999999"/>
    <s v="ZaraJacket160215215645421454227.77"/>
    <b v="0"/>
  </r>
  <r>
    <s v="ORD0970"/>
    <x v="3"/>
    <x v="1"/>
    <n v="1799"/>
    <n v="1815"/>
    <n v="94"/>
    <x v="294"/>
    <x v="4"/>
    <d v="2024-11-24T00:00:00"/>
    <n v="19.63"/>
    <n v="35314.369999999995"/>
    <s v="ZaraHoodie1799181594456134562019.63"/>
    <b v="0"/>
  </r>
  <r>
    <s v="ORD0971"/>
    <x v="1"/>
    <x v="1"/>
    <n v="577"/>
    <n v="568"/>
    <n v="19"/>
    <x v="112"/>
    <x v="0"/>
    <d v="2024-05-15T00:00:00"/>
    <n v="17.97"/>
    <n v="10368.689999999999"/>
    <s v="UniqloHoodie57756819454254542717.97"/>
    <b v="0"/>
  </r>
  <r>
    <s v="ORD0972"/>
    <x v="0"/>
    <x v="1"/>
    <n v="3927"/>
    <n v="3604"/>
    <n v="118"/>
    <x v="145"/>
    <x v="5"/>
    <d v="2024-08-11T00:00:00"/>
    <n v="21.31"/>
    <n v="83684.37"/>
    <s v="H&amp;MHoodie39273604118455134551521.31"/>
    <b v="0"/>
  </r>
  <r>
    <s v="ORD0973"/>
    <x v="0"/>
    <x v="2"/>
    <n v="3622"/>
    <n v="3363"/>
    <n v="164"/>
    <x v="246"/>
    <x v="2"/>
    <d v="2024-03-24T00:00:00"/>
    <n v="16.68"/>
    <n v="60414.96"/>
    <s v="H&amp;MShirt36223363164453754537516.68"/>
    <b v="0"/>
  </r>
  <r>
    <s v="ORD0974"/>
    <x v="2"/>
    <x v="2"/>
    <n v="1315"/>
    <n v="1253"/>
    <n v="72"/>
    <x v="70"/>
    <x v="2"/>
    <d v="2024-03-14T00:00:00"/>
    <n v="10.48"/>
    <n v="13781.2"/>
    <s v="GapShirt1315125372453604536510.48"/>
    <b v="0"/>
  </r>
  <r>
    <s v="ORD0975"/>
    <x v="1"/>
    <x v="2"/>
    <n v="2216"/>
    <n v="2172"/>
    <n v="118"/>
    <x v="149"/>
    <x v="7"/>
    <d v="2024-01-17T00:00:00"/>
    <n v="8.93"/>
    <n v="19788.88"/>
    <s v="UniqloShirt2216217211845308453088.93"/>
    <b v="0"/>
  </r>
  <r>
    <s v="ORD0976"/>
    <x v="3"/>
    <x v="0"/>
    <n v="1672"/>
    <n v="1714"/>
    <n v="101"/>
    <x v="235"/>
    <x v="8"/>
    <d v="2024-02-09T00:00:00"/>
    <n v="23.57"/>
    <n v="39409.040000000001"/>
    <s v="ZaraJeans16721714101453264533123.57"/>
    <b v="0"/>
  </r>
  <r>
    <s v="ORD0977"/>
    <x v="1"/>
    <x v="1"/>
    <n v="4097"/>
    <n v="3850"/>
    <n v="226"/>
    <x v="263"/>
    <x v="0"/>
    <d v="2024-05-01T00:00:00"/>
    <n v="8.86"/>
    <n v="36299.42"/>
    <s v="UniqloHoodie4097385022645410454138.86"/>
    <b v="0"/>
  </r>
  <r>
    <s v="ORD0978"/>
    <x v="0"/>
    <x v="3"/>
    <n v="1045"/>
    <n v="948"/>
    <n v="57"/>
    <x v="71"/>
    <x v="5"/>
    <d v="2024-08-10T00:00:00"/>
    <n v="7.43"/>
    <n v="7764.3499999999995"/>
    <s v="H&amp;MT-shirt10459485745514455147.43"/>
    <b v="0"/>
  </r>
  <r>
    <s v="ORD0979"/>
    <x v="0"/>
    <x v="2"/>
    <n v="4340"/>
    <n v="4273"/>
    <n v="222"/>
    <x v="284"/>
    <x v="9"/>
    <d v="2024-04-17T00:00:00"/>
    <n v="8.33"/>
    <n v="36152.199999999997"/>
    <s v="H&amp;MShirt4340427322245397453998.33"/>
    <b v="0"/>
  </r>
  <r>
    <s v="ORD0980"/>
    <x v="2"/>
    <x v="1"/>
    <n v="4809"/>
    <n v="4976"/>
    <n v="252"/>
    <x v="82"/>
    <x v="7"/>
    <d v="2024-01-12T00:00:00"/>
    <n v="7.48"/>
    <n v="35971.32"/>
    <s v="GapHoodie4809497625245303453037.48"/>
    <b v="0"/>
  </r>
  <r>
    <s v="ORD0981"/>
    <x v="2"/>
    <x v="4"/>
    <n v="829"/>
    <n v="819"/>
    <n v="19"/>
    <x v="115"/>
    <x v="0"/>
    <d v="2024-05-19T00:00:00"/>
    <n v="18.329999999999998"/>
    <n v="15195.569999999998"/>
    <s v="GapJacket82981919454314543118.33"/>
    <b v="0"/>
  </r>
  <r>
    <s v="ORD0982"/>
    <x v="1"/>
    <x v="0"/>
    <n v="3067"/>
    <n v="2888"/>
    <n v="56"/>
    <x v="85"/>
    <x v="5"/>
    <d v="2024-08-06T00:00:00"/>
    <n v="19.559999999999999"/>
    <n v="59990.52"/>
    <s v="UniqloJeans3067288856455034551019.56"/>
    <b v="0"/>
  </r>
  <r>
    <s v="ORD0983"/>
    <x v="4"/>
    <x v="0"/>
    <n v="1373"/>
    <n v="1325"/>
    <n v="74"/>
    <x v="49"/>
    <x v="11"/>
    <d v="2024-12-09T00:00:00"/>
    <n v="13.75"/>
    <n v="18878.75"/>
    <s v="PrimarkJeans1373132574456334563513.75"/>
    <b v="0"/>
  </r>
  <r>
    <s v="ORD0984"/>
    <x v="1"/>
    <x v="2"/>
    <n v="2783"/>
    <n v="2649"/>
    <n v="199"/>
    <x v="15"/>
    <x v="0"/>
    <d v="2024-05-14T00:00:00"/>
    <n v="23.45"/>
    <n v="65261.35"/>
    <s v="UniqloShirt27832649199454264542623.45"/>
    <b v="0"/>
  </r>
  <r>
    <s v="ORD0985"/>
    <x v="2"/>
    <x v="3"/>
    <n v="1769"/>
    <n v="1820"/>
    <n v="58"/>
    <x v="172"/>
    <x v="0"/>
    <d v="2024-05-24T00:00:00"/>
    <n v="22.04"/>
    <n v="38988.76"/>
    <s v="GapT-shirt1769182058454364543622.04"/>
    <b v="0"/>
  </r>
  <r>
    <s v="ORD0986"/>
    <x v="3"/>
    <x v="3"/>
    <n v="741"/>
    <n v="673"/>
    <n v="22"/>
    <x v="270"/>
    <x v="6"/>
    <d v="2024-09-07T00:00:00"/>
    <n v="18.46"/>
    <n v="13678.86"/>
    <s v="ZaraT-shirt74167322455394554218.46"/>
    <b v="0"/>
  </r>
  <r>
    <s v="ORD0987"/>
    <x v="1"/>
    <x v="4"/>
    <n v="4424"/>
    <n v="4168"/>
    <n v="175"/>
    <x v="298"/>
    <x v="7"/>
    <d v="2024-01-25T00:00:00"/>
    <n v="14.51"/>
    <n v="64192.24"/>
    <s v="UniqloJacket44244168175453094531614.51"/>
    <b v="0"/>
  </r>
  <r>
    <s v="ORD0988"/>
    <x v="2"/>
    <x v="4"/>
    <n v="3279"/>
    <n v="3003"/>
    <n v="206"/>
    <x v="39"/>
    <x v="1"/>
    <d v="2024-10-09T00:00:00"/>
    <n v="9.8000000000000007"/>
    <n v="32134.2"/>
    <s v="GapJacket3279300320645574455749.8"/>
    <b v="0"/>
  </r>
  <r>
    <s v="ORD0989"/>
    <x v="1"/>
    <x v="2"/>
    <n v="609"/>
    <n v="623"/>
    <n v="22"/>
    <x v="106"/>
    <x v="7"/>
    <d v="2024-01-25T00:00:00"/>
    <n v="24.62"/>
    <n v="14993.58"/>
    <s v="UniqloShirt60962322453164531624.62"/>
    <b v="0"/>
  </r>
  <r>
    <s v="ORD0990"/>
    <x v="0"/>
    <x v="3"/>
    <n v="3338"/>
    <n v="3022"/>
    <n v="41"/>
    <x v="131"/>
    <x v="1"/>
    <d v="2024-10-20T00:00:00"/>
    <n v="21.68"/>
    <n v="72367.839999999997"/>
    <s v="H&amp;MT-shirt3338302241455784558521.68"/>
    <b v="0"/>
  </r>
  <r>
    <s v="ORD0991"/>
    <x v="2"/>
    <x v="3"/>
    <n v="954"/>
    <n v="921"/>
    <n v="63"/>
    <x v="141"/>
    <x v="5"/>
    <d v="2024-08-16T00:00:00"/>
    <n v="10.25"/>
    <n v="9778.5"/>
    <s v="GapT-shirt95492163455204552010.25"/>
    <b v="0"/>
  </r>
  <r>
    <s v="ORD0992"/>
    <x v="0"/>
    <x v="2"/>
    <n v="1095"/>
    <n v="1059"/>
    <n v="53"/>
    <x v="339"/>
    <x v="9"/>
    <d v="2024-04-22T00:00:00"/>
    <n v="16.420000000000002"/>
    <n v="17979.900000000001"/>
    <s v="H&amp;MShirt1095105953454014540416.42"/>
    <b v="0"/>
  </r>
  <r>
    <s v="ORD0993"/>
    <x v="3"/>
    <x v="1"/>
    <n v="2635"/>
    <n v="2615"/>
    <n v="188"/>
    <x v="250"/>
    <x v="11"/>
    <d v="2024-12-09T00:00:00"/>
    <n v="9.6300000000000008"/>
    <n v="25375.050000000003"/>
    <s v="ZaraHoodie2635261518845634456359.63"/>
    <b v="0"/>
  </r>
  <r>
    <s v="ORD0994"/>
    <x v="4"/>
    <x v="4"/>
    <n v="676"/>
    <n v="706"/>
    <n v="55"/>
    <x v="259"/>
    <x v="7"/>
    <d v="2024-01-20T00:00:00"/>
    <n v="22.3"/>
    <n v="15074.800000000001"/>
    <s v="PrimarkJacket67670655453044531122.3"/>
    <b v="0"/>
  </r>
  <r>
    <s v="ORD0995"/>
    <x v="2"/>
    <x v="4"/>
    <n v="3613"/>
    <n v="3593"/>
    <n v="150"/>
    <x v="319"/>
    <x v="1"/>
    <d v="2024-10-05T00:00:00"/>
    <n v="14.64"/>
    <n v="52894.32"/>
    <s v="GapJacket36133593150455704557014.64"/>
    <b v="0"/>
  </r>
  <r>
    <s v="ORD0996"/>
    <x v="1"/>
    <x v="0"/>
    <n v="3881"/>
    <n v="3591"/>
    <n v="59"/>
    <x v="298"/>
    <x v="7"/>
    <d v="2024-01-18T00:00:00"/>
    <n v="13.38"/>
    <n v="51927.780000000006"/>
    <s v="UniqloJeans3881359159453094530913.38"/>
    <b v="0"/>
  </r>
  <r>
    <s v="ORD0997"/>
    <x v="1"/>
    <x v="0"/>
    <n v="504"/>
    <n v="466"/>
    <n v="6"/>
    <x v="206"/>
    <x v="6"/>
    <d v="2024-09-15T00:00:00"/>
    <n v="11.35"/>
    <n v="5720.4"/>
    <s v="UniqloJeans5044666455504555011.35"/>
    <b v="0"/>
  </r>
  <r>
    <s v="ORD0998"/>
    <x v="2"/>
    <x v="4"/>
    <n v="3163"/>
    <n v="3112"/>
    <n v="143"/>
    <x v="158"/>
    <x v="9"/>
    <d v="2024-04-18T00:00:00"/>
    <n v="6.99"/>
    <n v="22109.37"/>
    <s v="GapJacket3163311214345399454006.99"/>
    <b v="0"/>
  </r>
  <r>
    <s v="ORD0999"/>
    <x v="1"/>
    <x v="0"/>
    <n v="3136"/>
    <n v="3227"/>
    <n v="189"/>
    <x v="340"/>
    <x v="1"/>
    <d v="2024-10-08T00:00:00"/>
    <n v="5.21"/>
    <n v="16338.56"/>
    <s v="UniqloJeans3136322718945573455735.21"/>
    <b v="0"/>
  </r>
  <r>
    <s v="ORD1000"/>
    <x v="1"/>
    <x v="4"/>
    <n v="3659"/>
    <n v="3482"/>
    <n v="43"/>
    <x v="341"/>
    <x v="11"/>
    <d v="2024-12-01T00:00:00"/>
    <n v="19.920000000000002"/>
    <n v="72887.280000000013"/>
    <s v="UniqloJacket3659348243456204562719.92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C1035-0C28-4ECA-9E21-5E4ABC625AE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C5:E11" firstHeaderRow="0" firstDataRow="1" firstDataCol="1"/>
  <pivotFields count="13">
    <pivotField compact="0" outline="0" showAll="0"/>
    <pivotField axis="axisRow" compact="0" outline="0" showAll="0" sortType="descending">
      <items count="6">
        <item x="2"/>
        <item x="0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4" outline="0" showAll="0"/>
    <pivotField compact="0" outline="0" showAll="0"/>
    <pivotField compact="0" numFmtId="14" outline="0" showAll="0"/>
    <pivotField compact="0" numFmtId="2" outline="0" showAll="0"/>
    <pivotField dataField="1" compact="0" numFmtId="3" outline="0" showAll="0"/>
    <pivotField compact="0" outline="0" showAll="0"/>
    <pivotField compact="0" outline="0" showAll="0"/>
  </pivotFields>
  <rowFields count="1">
    <field x="1"/>
  </rowFields>
  <rowItems count="6">
    <i>
      <x v="2"/>
    </i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0" baseItem="0" numFmtId="164"/>
    <dataField name="Sales Contribution (%)" fld="10" showDataAs="percentOfTotal" baseField="0" baseItem="0" numFmtId="10"/>
  </dataFields>
  <formats count="14"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1" type="button" dataOnly="0" labelOnly="1" outline="0" axis="axisRow" fieldPosition="0"/>
    </format>
    <format dxfId="60">
      <pivotArea dataOnly="0" labelOnly="1" outline="0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2">
      <pivotArea dataOnly="0" labelOnly="1" outline="0" axis="axisValues" fieldPosition="0"/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1" type="button" dataOnly="0" labelOnly="1" outline="0" axis="axisRow" fieldPosition="0"/>
    </format>
    <format dxfId="66">
      <pivotArea dataOnly="0" labelOnly="1" outline="0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8">
      <pivotArea dataOnly="0" labelOnly="1" outline="0" axis="axisValues" fieldPosition="0"/>
    </format>
    <format dxfId="69">
      <pivotArea outline="0" fieldPosition="0">
        <references count="1">
          <reference field="4294967294" count="1" selected="0">
            <x v="0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038DD-5386-4EAA-83ED-09D1C8E07107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:D19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1" outline="0" showAll="0"/>
    <pivotField compact="0" numFmtId="14" outline="0" showAll="0"/>
    <pivotField axis="axisRow" compact="0" outline="0" showAll="0" sortType="ascending">
      <items count="14">
        <item x="7"/>
        <item x="8"/>
        <item x="2"/>
        <item x="9"/>
        <item x="0"/>
        <item x="3"/>
        <item x="10"/>
        <item x="5"/>
        <item x="6"/>
        <item x="1"/>
        <item x="4"/>
        <item x="11"/>
        <item x="12"/>
        <item t="default"/>
      </items>
    </pivotField>
    <pivotField compact="0" numFmtId="14" outline="0" showAll="0"/>
    <pivotField compact="0" numFmtId="2" outline="0" showAll="0"/>
    <pivotField dataField="1" compact="0" numFmtId="3" outline="0" showAll="0"/>
    <pivotField compact="0" outline="0" showAll="0"/>
    <pivotField compact="0" outline="0"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 (Amount)" fld="10" baseField="0" baseItem="0" numFmtId="164"/>
  </dataFields>
  <formats count="11">
    <format dxfId="46">
      <pivotArea outline="0" collapsedLevelsAreSubtotals="1" fieldPosition="0"/>
    </format>
    <format dxfId="47">
      <pivotArea field="7" type="button" dataOnly="0" labelOnly="1" outline="0" axis="axisRow" fieldPosition="0"/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7" count="0"/>
        </references>
      </pivotArea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7" type="button" dataOnly="0" labelOnly="1" outline="0" axis="axisRow" fieldPosition="0"/>
    </format>
    <format dxfId="53">
      <pivotArea dataOnly="0" labelOnly="1" outline="0" fieldPosition="0">
        <references count="1">
          <reference field="7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  <format dxfId="5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D0D53-13AF-4FF3-BB20-5C361E8D24D2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B6:C12" firstHeaderRow="1" firstDataRow="1" firstDataCol="1"/>
  <pivotFields count="13">
    <pivotField compact="0" outline="0" showAll="0"/>
    <pivotField compact="0" outline="0" showAll="0"/>
    <pivotField name="Product " axis="axisRow" compact="0" outline="0"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" outline="0" showAll="0"/>
    <pivotField compact="0" numFmtId="1" outline="0" showAll="0"/>
    <pivotField compact="0" numFmtId="14" outline="0" showAll="0"/>
    <pivotField compact="0" outline="0" showAll="0"/>
    <pivotField compact="0" numFmtId="14" outline="0" showAll="0"/>
    <pivotField compact="0" numFmtId="2" outline="0" showAll="0"/>
    <pivotField dataField="1" compact="0" numFmtId="3" outline="0" showAll="0"/>
    <pivotField compact="0" outline="0" showAll="0"/>
    <pivotField compact="0" outline="0" showAll="0"/>
  </pivotFields>
  <rowFields count="1">
    <field x="2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Total Sales" fld="10" baseField="0" baseItem="0" numFmtId="164"/>
  </dataFields>
  <formats count="6">
    <format dxfId="40">
      <pivotArea outline="0" collapsedLevelsAreSubtotals="1" fieldPosition="0"/>
    </format>
    <format dxfId="41">
      <pivotArea dataOnly="0" labelOnly="1" outline="0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3">
      <pivotArea outline="0" collapsedLevelsAreSubtotals="1" fieldPosition="0"/>
    </format>
    <format dxfId="44">
      <pivotArea field="2" type="button" dataOnly="0" labelOnly="1" outline="0" axis="axisRow" fieldPosition="0"/>
    </format>
    <format dxfId="45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E51B0-E41B-4197-8E75-A41FC7E44F0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B5:D11" firstHeaderRow="0" firstDataRow="1" firstDataCol="1"/>
  <pivotFields count="13">
    <pivotField compact="0" outline="0" showAll="0"/>
    <pivotField axis="axisRow"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  <pivotField dataField="1" compact="0" numFmtId="3" outline="0" showAll="0"/>
    <pivotField dataField="1" compact="0" numFmtId="3" outline="0" showAll="0"/>
    <pivotField compact="0" numFmtId="1" outline="0" showAll="0"/>
    <pivotField compact="0" numFmtId="14" outline="0" showAll="0"/>
    <pivotField compact="0" numFmtId="165" outline="0" showAll="0"/>
    <pivotField compact="0" numFmtId="14" outline="0" showAll="0"/>
    <pivotField compact="0" numFmtId="2" outline="0" showAll="0"/>
    <pivotField compact="0" numFmtId="3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3" baseField="0" baseItem="0" numFmtId="3"/>
    <dataField name="Total Production" fld="4" baseField="0" baseItem="0" numFmtId="3"/>
  </dataFields>
  <formats count="7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1" type="button" dataOnly="0" labelOnly="1" outline="0" axis="axisRow" fieldPosition="0"/>
    </format>
    <format dxfId="36">
      <pivotArea dataOnly="0" labelOnly="1" outline="0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collapsedLevelsAreSubtotals="1" fieldPosition="0"/>
    </format>
  </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BE94B-A83E-42D2-9BD6-22D43524BE34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B6:E13" firstHeaderRow="0" firstDataRow="1" firstDataCol="2"/>
  <pivotFields count="13">
    <pivotField compact="0" outline="0" showAll="0"/>
    <pivotField axis="axisRow" compact="0" outline="0" showAll="0">
      <items count="6">
        <item h="1" x="2"/>
        <item h="1" x="0"/>
        <item h="1" x="4"/>
        <item x="1"/>
        <item h="1" x="3"/>
        <item t="default"/>
      </items>
    </pivotField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compact="0" numFmtId="3" outline="0" showAll="0"/>
    <pivotField compact="0" numFmtId="3" outline="0" showAll="0"/>
    <pivotField dataField="1" compact="0" numFmtId="1" outline="0" showAll="0"/>
    <pivotField compact="0" numFmtId="14" outline="0" showAll="0"/>
    <pivotField compact="0" numFmtId="165" outline="0" showAll="0"/>
    <pivotField compact="0" numFmtId="168" outline="0" showAll="0"/>
    <pivotField compact="0" numFmtId="2" outline="0" showAll="0"/>
    <pivotField compact="0" numFmtId="3" outline="0" showAll="0"/>
    <pivotField compact="0" outline="0" showAll="0"/>
    <pivotField compact="0" outline="0" showAll="0"/>
  </pivotFields>
  <rowFields count="2">
    <field x="1"/>
    <field x="2"/>
  </rowFields>
  <rowItems count="7"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Defected product" fld="5" baseField="0" baseItem="0" numFmtId="3"/>
    <dataField name="Sum of Defects" fld="5" showDataAs="percentOfTotal" baseField="0" baseItem="0" numFmtId="10"/>
  </dataFields>
  <formats count="11">
    <format dxfId="22">
      <pivotArea outline="0" collapsedLevelsAreSubtotals="1" fieldPosition="0"/>
    </format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8">
      <pivotArea outline="0" collapsedLevelsAreSubtotals="1" fieldPosition="0"/>
    </format>
    <format dxfId="29">
      <pivotArea dataOnly="0" labelOnly="1" outline="0" axis="axisValues" fieldPosition="0"/>
    </format>
    <format dxfId="30">
      <pivotArea outline="0" fieldPosition="0">
        <references count="1">
          <reference field="4294967294" count="1" selected="0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97037-939F-496C-8C2A-2A5464AD46E3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5:C11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6">
        <item x="1"/>
        <item x="4"/>
        <item x="0"/>
        <item x="2"/>
        <item x="3"/>
        <item t="default"/>
      </items>
    </pivotField>
    <pivotField compact="0" numFmtId="3" outline="0" showAll="0"/>
    <pivotField compact="0" numFmtId="3" outline="0" showAll="0"/>
    <pivotField dataField="1" compact="0" numFmtId="1" outline="0" showAll="0"/>
    <pivotField compact="0" numFmtId="14" outline="0" showAll="0"/>
    <pivotField compact="0" numFmtId="165" outline="0" showAll="0"/>
    <pivotField compact="0" numFmtId="168" outline="0" showAll="0"/>
    <pivotField compact="0" numFmtId="2" outline="0" showAll="0"/>
    <pivotField compact="0" numFmtId="3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efects Rate" fld="5" showDataAs="percentOfTotal" baseField="0" baseItem="0" numFmtId="10"/>
  </dataFields>
  <formats count="6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Buyer" xr10:uid="{F22BD812-4F32-499C-986E-2EC8E282A616}" sourceName="Buyer">
  <pivotTables>
    <pivotTable tabId="7" name="PivotTable1"/>
  </pivotTables>
  <data>
    <tabular pivotCacheId="1768645294">
      <items count="5">
        <i x="2"/>
        <i x="0"/>
        <i x="4"/>
        <i x="1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uyer" xr10:uid="{CE8FB36C-F62E-4E4C-AE18-081FE5BDAC8D}" cache="Slicer_Buyer" caption="Buy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A6DB1-B01D-4F77-A089-BF8E3FB7D99A}" name="Table2" displayName="Table2" ref="A1:K1001" totalsRowShown="0" headerRowDxfId="14" dataDxfId="13" headerRowBorderDxfId="11" tableBorderDxfId="12">
  <autoFilter ref="A1:K1001" xr:uid="{02DA6DB1-B01D-4F77-A089-BF8E3FB7D99A}"/>
  <tableColumns count="11">
    <tableColumn id="1" xr3:uid="{B5B62BEC-7765-476A-8DCD-5D0AAB6375C2}" name="Order ID" dataDxfId="10"/>
    <tableColumn id="2" xr3:uid="{39324D63-6A87-4A28-8C7B-EAFBFAA9D454}" name="Buyer" dataDxfId="9"/>
    <tableColumn id="3" xr3:uid="{5AF554CA-51CF-425A-8E45-EB51CF28087D}" name="Product Type" dataDxfId="8"/>
    <tableColumn id="4" xr3:uid="{454BF6BF-5C44-4650-B94D-A3DAC70852EA}" name="Order Quantity" dataDxfId="7"/>
    <tableColumn id="5" xr3:uid="{0CE95BB2-708F-4CEC-AF81-1724EC3241E8}" name="Production Quantity" dataDxfId="6"/>
    <tableColumn id="6" xr3:uid="{CC70B6D5-06C2-4850-88C3-5010189AAC24}" name="Defects" dataDxfId="5"/>
    <tableColumn id="7" xr3:uid="{C9393C8E-C524-4E29-A572-D1800F11E3AA}" name="Delivery Date" dataDxfId="4"/>
    <tableColumn id="10" xr3:uid="{E5069098-EA5F-4DC7-B531-64D09C671413}" name="Date" dataDxfId="3">
      <calculatedColumnFormula>DATE(YEAR(I2), MONTH(I2), 1)</calculatedColumnFormula>
    </tableColumn>
    <tableColumn id="8" xr3:uid="{989ABAD9-B72A-4D55-8D73-F80371BE3DB3}" name="Actual Shipment Date" dataDxfId="2"/>
    <tableColumn id="9" xr3:uid="{032C07D9-24BC-4DFB-AEAA-33048C296C31}" name="Price per Unit" dataDxfId="1"/>
    <tableColumn id="13" xr3:uid="{9D1859AE-B43D-4BD5-978F-3F6355C178DF}" name="Sales" dataDxfId="0">
      <calculatedColumnFormula>Table2[[#This Row],[Order Quantity]]*Table2[[#This Row],[Price per Unit]]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activeCell="E1" sqref="E1"/>
    </sheetView>
  </sheetViews>
  <sheetFormatPr defaultRowHeight="15"/>
  <cols>
    <col min="1" max="1" width="12.7109375" style="1" customWidth="1"/>
    <col min="2" max="2" width="13.7109375" style="1" customWidth="1"/>
    <col min="3" max="3" width="17.5703125" style="1" customWidth="1"/>
    <col min="4" max="4" width="16.85546875" style="10" customWidth="1"/>
    <col min="5" max="5" width="22.85546875" style="10" customWidth="1"/>
    <col min="6" max="6" width="12.5703125" style="4" customWidth="1"/>
    <col min="7" max="7" width="16.7109375" style="2" customWidth="1"/>
    <col min="8" max="8" width="16.7109375" style="21" customWidth="1"/>
    <col min="9" max="9" width="18.85546875" style="26" customWidth="1"/>
    <col min="10" max="10" width="17" style="3" customWidth="1"/>
    <col min="11" max="11" width="15.5703125" style="10" customWidth="1"/>
    <col min="12" max="16384" width="9.140625" style="1"/>
  </cols>
  <sheetData>
    <row r="1" spans="1:11" ht="29.25" customHeight="1">
      <c r="A1" s="5" t="s">
        <v>0</v>
      </c>
      <c r="B1" s="5" t="s">
        <v>1</v>
      </c>
      <c r="C1" s="5" t="s">
        <v>2</v>
      </c>
      <c r="D1" s="16" t="s">
        <v>3</v>
      </c>
      <c r="E1" s="16" t="s">
        <v>4</v>
      </c>
      <c r="F1" s="6" t="s">
        <v>5</v>
      </c>
      <c r="G1" s="7" t="s">
        <v>6</v>
      </c>
      <c r="H1" s="20" t="s">
        <v>7</v>
      </c>
      <c r="I1" s="25" t="s">
        <v>8</v>
      </c>
      <c r="J1" s="8" t="s">
        <v>9</v>
      </c>
      <c r="K1" s="9" t="s">
        <v>10</v>
      </c>
    </row>
    <row r="2" spans="1:11">
      <c r="A2" s="1" t="s">
        <v>11</v>
      </c>
      <c r="B2" s="1" t="s">
        <v>12</v>
      </c>
      <c r="C2" s="1" t="s">
        <v>13</v>
      </c>
      <c r="D2" s="10">
        <v>1360</v>
      </c>
      <c r="E2" s="10">
        <v>1261</v>
      </c>
      <c r="F2" s="4">
        <v>81</v>
      </c>
      <c r="G2" s="2">
        <v>45413</v>
      </c>
      <c r="H2" s="21">
        <f t="shared" ref="H2:H65" si="0">DATE(YEAR(I2), MONTH(I2), 1)</f>
        <v>45413</v>
      </c>
      <c r="I2" s="26">
        <v>45413</v>
      </c>
      <c r="J2" s="3">
        <v>16.940000000000001</v>
      </c>
      <c r="K2" s="10">
        <f>Table2[[#This Row],[Order Quantity]]*Table2[[#This Row],[Price per Unit]]</f>
        <v>23038.400000000001</v>
      </c>
    </row>
    <row r="3" spans="1:11">
      <c r="A3" s="1" t="s">
        <v>14</v>
      </c>
      <c r="B3" s="1" t="s">
        <v>15</v>
      </c>
      <c r="C3" s="1" t="s">
        <v>16</v>
      </c>
      <c r="D3" s="10">
        <v>4926</v>
      </c>
      <c r="E3" s="10">
        <v>4772</v>
      </c>
      <c r="F3" s="4">
        <v>159</v>
      </c>
      <c r="G3" s="2">
        <v>45422</v>
      </c>
      <c r="H3" s="21">
        <f t="shared" si="0"/>
        <v>45413</v>
      </c>
      <c r="I3" s="26">
        <v>45425</v>
      </c>
      <c r="J3" s="3">
        <v>7.86</v>
      </c>
      <c r="K3" s="10">
        <f>Table2[[#This Row],[Order Quantity]]*Table2[[#This Row],[Price per Unit]]</f>
        <v>38718.36</v>
      </c>
    </row>
    <row r="4" spans="1:11">
      <c r="A4" s="1" t="s">
        <v>17</v>
      </c>
      <c r="B4" s="1" t="s">
        <v>18</v>
      </c>
      <c r="C4" s="1" t="s">
        <v>16</v>
      </c>
      <c r="D4" s="10">
        <v>1269</v>
      </c>
      <c r="E4" s="10">
        <v>1279</v>
      </c>
      <c r="F4" s="4">
        <v>96</v>
      </c>
      <c r="G4" s="2">
        <v>45568</v>
      </c>
      <c r="H4" s="21">
        <f t="shared" si="0"/>
        <v>45566</v>
      </c>
      <c r="I4" s="26">
        <v>45568</v>
      </c>
      <c r="J4" s="3">
        <v>5.0199999999999996</v>
      </c>
      <c r="K4" s="10">
        <f>Table2[[#This Row],[Order Quantity]]*Table2[[#This Row],[Price per Unit]]</f>
        <v>6370.3799999999992</v>
      </c>
    </row>
    <row r="5" spans="1:11">
      <c r="A5" s="1" t="s">
        <v>19</v>
      </c>
      <c r="B5" s="1" t="s">
        <v>18</v>
      </c>
      <c r="C5" s="1" t="s">
        <v>20</v>
      </c>
      <c r="D5" s="10">
        <v>3885</v>
      </c>
      <c r="E5" s="10">
        <v>3802</v>
      </c>
      <c r="F5" s="4">
        <v>152</v>
      </c>
      <c r="G5" s="2">
        <v>45350</v>
      </c>
      <c r="H5" s="21">
        <f t="shared" si="0"/>
        <v>45352</v>
      </c>
      <c r="I5" s="26">
        <v>45355</v>
      </c>
      <c r="J5" s="3">
        <v>10.82</v>
      </c>
      <c r="K5" s="10">
        <f>Table2[[#This Row],[Order Quantity]]*Table2[[#This Row],[Price per Unit]]</f>
        <v>42035.700000000004</v>
      </c>
    </row>
    <row r="6" spans="1:11">
      <c r="A6" s="1" t="s">
        <v>21</v>
      </c>
      <c r="B6" s="1" t="s">
        <v>18</v>
      </c>
      <c r="C6" s="1" t="s">
        <v>22</v>
      </c>
      <c r="D6" s="10">
        <v>2547</v>
      </c>
      <c r="E6" s="10">
        <v>2403</v>
      </c>
      <c r="F6" s="4">
        <v>85</v>
      </c>
      <c r="G6" s="2">
        <v>45466</v>
      </c>
      <c r="H6" s="21">
        <f t="shared" si="0"/>
        <v>45444</v>
      </c>
      <c r="I6" s="26">
        <v>45469</v>
      </c>
      <c r="J6" s="3">
        <v>14.12</v>
      </c>
      <c r="K6" s="10">
        <f>Table2[[#This Row],[Order Quantity]]*Table2[[#This Row],[Price per Unit]]</f>
        <v>35963.64</v>
      </c>
    </row>
    <row r="7" spans="1:11">
      <c r="A7" s="1" t="s">
        <v>23</v>
      </c>
      <c r="B7" s="1" t="s">
        <v>12</v>
      </c>
      <c r="C7" s="1" t="s">
        <v>16</v>
      </c>
      <c r="D7" s="10">
        <v>2399</v>
      </c>
      <c r="E7" s="10">
        <v>2344</v>
      </c>
      <c r="F7" s="4">
        <v>120</v>
      </c>
      <c r="G7" s="2">
        <v>45598</v>
      </c>
      <c r="H7" s="21">
        <f t="shared" si="0"/>
        <v>45597</v>
      </c>
      <c r="I7" s="26">
        <v>45603</v>
      </c>
      <c r="J7" s="3">
        <v>5.93</v>
      </c>
      <c r="K7" s="10">
        <f>Table2[[#This Row],[Order Quantity]]*Table2[[#This Row],[Price per Unit]]</f>
        <v>14226.07</v>
      </c>
    </row>
    <row r="8" spans="1:11">
      <c r="A8" s="1" t="s">
        <v>24</v>
      </c>
      <c r="B8" s="1" t="s">
        <v>25</v>
      </c>
      <c r="C8" s="1" t="s">
        <v>22</v>
      </c>
      <c r="D8" s="10">
        <v>3388</v>
      </c>
      <c r="E8" s="10">
        <v>3082</v>
      </c>
      <c r="F8" s="4">
        <v>235</v>
      </c>
      <c r="G8" s="2">
        <v>45533</v>
      </c>
      <c r="H8" s="21">
        <f t="shared" si="0"/>
        <v>45505</v>
      </c>
      <c r="I8" s="26">
        <v>45533</v>
      </c>
      <c r="J8" s="3">
        <v>24.31</v>
      </c>
      <c r="K8" s="10">
        <f>Table2[[#This Row],[Order Quantity]]*Table2[[#This Row],[Price per Unit]]</f>
        <v>82362.28</v>
      </c>
    </row>
    <row r="9" spans="1:11">
      <c r="A9" s="1" t="s">
        <v>26</v>
      </c>
      <c r="B9" s="1" t="s">
        <v>27</v>
      </c>
      <c r="C9" s="1" t="s">
        <v>16</v>
      </c>
      <c r="D9" s="10">
        <v>3324</v>
      </c>
      <c r="E9" s="10">
        <v>2999</v>
      </c>
      <c r="F9" s="4">
        <v>78</v>
      </c>
      <c r="G9" s="2">
        <v>45555</v>
      </c>
      <c r="H9" s="21">
        <f t="shared" si="0"/>
        <v>45536</v>
      </c>
      <c r="I9" s="26">
        <v>45560</v>
      </c>
      <c r="J9" s="3">
        <v>9.82</v>
      </c>
      <c r="K9" s="10">
        <f>Table2[[#This Row],[Order Quantity]]*Table2[[#This Row],[Price per Unit]]</f>
        <v>32641.68</v>
      </c>
    </row>
    <row r="10" spans="1:11">
      <c r="A10" s="1" t="s">
        <v>28</v>
      </c>
      <c r="B10" s="1" t="s">
        <v>27</v>
      </c>
      <c r="C10" s="1" t="s">
        <v>16</v>
      </c>
      <c r="D10" s="10">
        <v>534</v>
      </c>
      <c r="E10" s="10">
        <v>553</v>
      </c>
      <c r="F10" s="4">
        <v>15</v>
      </c>
      <c r="G10" s="2">
        <v>45293</v>
      </c>
      <c r="H10" s="21">
        <f t="shared" si="0"/>
        <v>45292</v>
      </c>
      <c r="I10" s="26">
        <v>45296</v>
      </c>
      <c r="J10" s="3">
        <v>18.25</v>
      </c>
      <c r="K10" s="10">
        <f>Table2[[#This Row],[Order Quantity]]*Table2[[#This Row],[Price per Unit]]</f>
        <v>9745.5</v>
      </c>
    </row>
    <row r="11" spans="1:11">
      <c r="A11" s="1" t="s">
        <v>29</v>
      </c>
      <c r="B11" s="1" t="s">
        <v>12</v>
      </c>
      <c r="C11" s="1" t="s">
        <v>16</v>
      </c>
      <c r="D11" s="10">
        <v>3961</v>
      </c>
      <c r="E11" s="10">
        <v>3688</v>
      </c>
      <c r="F11" s="4">
        <v>183</v>
      </c>
      <c r="G11" s="2">
        <v>45509</v>
      </c>
      <c r="H11" s="21">
        <f t="shared" si="0"/>
        <v>45505</v>
      </c>
      <c r="I11" s="26">
        <v>45510</v>
      </c>
      <c r="J11" s="3">
        <v>5.63</v>
      </c>
      <c r="K11" s="10">
        <f>Table2[[#This Row],[Order Quantity]]*Table2[[#This Row],[Price per Unit]]</f>
        <v>22300.43</v>
      </c>
    </row>
    <row r="12" spans="1:11">
      <c r="A12" s="1" t="s">
        <v>30</v>
      </c>
      <c r="B12" s="1" t="s">
        <v>27</v>
      </c>
      <c r="C12" s="1" t="s">
        <v>22</v>
      </c>
      <c r="D12" s="10">
        <v>661</v>
      </c>
      <c r="E12" s="10">
        <v>634</v>
      </c>
      <c r="F12" s="4">
        <v>47</v>
      </c>
      <c r="G12" s="2">
        <v>45562</v>
      </c>
      <c r="H12" s="21">
        <f t="shared" si="0"/>
        <v>45566</v>
      </c>
      <c r="I12" s="26">
        <v>45569</v>
      </c>
      <c r="J12" s="3">
        <v>19.55</v>
      </c>
      <c r="K12" s="10">
        <f>Table2[[#This Row],[Order Quantity]]*Table2[[#This Row],[Price per Unit]]</f>
        <v>12922.550000000001</v>
      </c>
    </row>
    <row r="13" spans="1:11">
      <c r="A13" s="1" t="s">
        <v>31</v>
      </c>
      <c r="B13" s="1" t="s">
        <v>12</v>
      </c>
      <c r="C13" s="1" t="s">
        <v>20</v>
      </c>
      <c r="D13" s="10">
        <v>4298</v>
      </c>
      <c r="E13" s="10">
        <v>4203</v>
      </c>
      <c r="F13" s="4">
        <v>324</v>
      </c>
      <c r="G13" s="2">
        <v>45528</v>
      </c>
      <c r="H13" s="21">
        <f t="shared" si="0"/>
        <v>45505</v>
      </c>
      <c r="I13" s="26">
        <v>45528</v>
      </c>
      <c r="J13" s="3">
        <v>21.89</v>
      </c>
      <c r="K13" s="10">
        <f>Table2[[#This Row],[Order Quantity]]*Table2[[#This Row],[Price per Unit]]</f>
        <v>94083.22</v>
      </c>
    </row>
    <row r="14" spans="1:11">
      <c r="A14" s="1" t="s">
        <v>32</v>
      </c>
      <c r="B14" s="1" t="s">
        <v>27</v>
      </c>
      <c r="C14" s="1" t="s">
        <v>13</v>
      </c>
      <c r="D14" s="10">
        <v>1378</v>
      </c>
      <c r="E14" s="10">
        <v>1411</v>
      </c>
      <c r="F14" s="4">
        <v>49</v>
      </c>
      <c r="G14" s="2">
        <v>45332</v>
      </c>
      <c r="H14" s="21">
        <f t="shared" si="0"/>
        <v>45323</v>
      </c>
      <c r="I14" s="26">
        <v>45334</v>
      </c>
      <c r="J14" s="3">
        <v>10.62</v>
      </c>
      <c r="K14" s="10">
        <f>Table2[[#This Row],[Order Quantity]]*Table2[[#This Row],[Price per Unit]]</f>
        <v>14634.359999999999</v>
      </c>
    </row>
    <row r="15" spans="1:11">
      <c r="A15" s="1" t="s">
        <v>33</v>
      </c>
      <c r="B15" s="1" t="s">
        <v>15</v>
      </c>
      <c r="C15" s="1" t="s">
        <v>13</v>
      </c>
      <c r="D15" s="10">
        <v>2562</v>
      </c>
      <c r="E15" s="10">
        <v>2369</v>
      </c>
      <c r="F15" s="4">
        <v>26</v>
      </c>
      <c r="G15" s="2">
        <v>45420</v>
      </c>
      <c r="H15" s="21">
        <f t="shared" si="0"/>
        <v>45413</v>
      </c>
      <c r="I15" s="26">
        <v>45421</v>
      </c>
      <c r="J15" s="3">
        <v>13.47</v>
      </c>
      <c r="K15" s="10">
        <f>Table2[[#This Row],[Order Quantity]]*Table2[[#This Row],[Price per Unit]]</f>
        <v>34510.14</v>
      </c>
    </row>
    <row r="16" spans="1:11">
      <c r="A16" s="1" t="s">
        <v>34</v>
      </c>
      <c r="B16" s="1" t="s">
        <v>27</v>
      </c>
      <c r="C16" s="1" t="s">
        <v>22</v>
      </c>
      <c r="D16" s="10">
        <v>3195</v>
      </c>
      <c r="E16" s="10">
        <v>2878</v>
      </c>
      <c r="F16" s="4">
        <v>193</v>
      </c>
      <c r="G16" s="2">
        <v>45454</v>
      </c>
      <c r="H16" s="21">
        <f t="shared" si="0"/>
        <v>45444</v>
      </c>
      <c r="I16" s="26">
        <v>45454</v>
      </c>
      <c r="J16" s="3">
        <v>19.14</v>
      </c>
      <c r="K16" s="10">
        <f>Table2[[#This Row],[Order Quantity]]*Table2[[#This Row],[Price per Unit]]</f>
        <v>61152.3</v>
      </c>
    </row>
    <row r="17" spans="1:11">
      <c r="A17" s="1" t="s">
        <v>35</v>
      </c>
      <c r="B17" s="1" t="s">
        <v>12</v>
      </c>
      <c r="C17" s="1" t="s">
        <v>16</v>
      </c>
      <c r="D17" s="10">
        <v>4974</v>
      </c>
      <c r="E17" s="10">
        <v>4531</v>
      </c>
      <c r="F17" s="4">
        <v>159</v>
      </c>
      <c r="G17" s="2">
        <v>45426</v>
      </c>
      <c r="H17" s="21">
        <f t="shared" si="0"/>
        <v>45413</v>
      </c>
      <c r="I17" s="26">
        <v>45426</v>
      </c>
      <c r="J17" s="3">
        <v>7.32</v>
      </c>
      <c r="K17" s="10">
        <f>Table2[[#This Row],[Order Quantity]]*Table2[[#This Row],[Price per Unit]]</f>
        <v>36409.68</v>
      </c>
    </row>
    <row r="18" spans="1:11">
      <c r="A18" s="1" t="s">
        <v>36</v>
      </c>
      <c r="B18" s="1" t="s">
        <v>25</v>
      </c>
      <c r="C18" s="1" t="s">
        <v>20</v>
      </c>
      <c r="D18" s="10">
        <v>3604</v>
      </c>
      <c r="E18" s="10">
        <v>3277</v>
      </c>
      <c r="F18" s="4">
        <v>104</v>
      </c>
      <c r="G18" s="2">
        <v>45390</v>
      </c>
      <c r="H18" s="21">
        <f t="shared" si="0"/>
        <v>45383</v>
      </c>
      <c r="I18" s="26">
        <v>45391</v>
      </c>
      <c r="J18" s="3">
        <v>11.5</v>
      </c>
      <c r="K18" s="10">
        <f>Table2[[#This Row],[Order Quantity]]*Table2[[#This Row],[Price per Unit]]</f>
        <v>41446</v>
      </c>
    </row>
    <row r="19" spans="1:11">
      <c r="A19" s="1" t="s">
        <v>37</v>
      </c>
      <c r="B19" s="1" t="s">
        <v>25</v>
      </c>
      <c r="C19" s="1" t="s">
        <v>16</v>
      </c>
      <c r="D19" s="10">
        <v>3273</v>
      </c>
      <c r="E19" s="10">
        <v>3381</v>
      </c>
      <c r="F19" s="4">
        <v>145</v>
      </c>
      <c r="G19" s="2">
        <v>45422</v>
      </c>
      <c r="H19" s="21">
        <f t="shared" si="0"/>
        <v>45413</v>
      </c>
      <c r="I19" s="26">
        <v>45422</v>
      </c>
      <c r="J19" s="3">
        <v>7.39</v>
      </c>
      <c r="K19" s="10">
        <f>Table2[[#This Row],[Order Quantity]]*Table2[[#This Row],[Price per Unit]]</f>
        <v>24187.469999999998</v>
      </c>
    </row>
    <row r="20" spans="1:11">
      <c r="A20" s="1" t="s">
        <v>38</v>
      </c>
      <c r="B20" s="1" t="s">
        <v>18</v>
      </c>
      <c r="C20" s="1" t="s">
        <v>22</v>
      </c>
      <c r="D20" s="10">
        <v>1528</v>
      </c>
      <c r="E20" s="10">
        <v>1503</v>
      </c>
      <c r="F20" s="4">
        <v>96</v>
      </c>
      <c r="G20" s="2">
        <v>45498</v>
      </c>
      <c r="H20" s="21">
        <f t="shared" si="0"/>
        <v>45474</v>
      </c>
      <c r="I20" s="26">
        <v>45503</v>
      </c>
      <c r="J20" s="3">
        <v>14.88</v>
      </c>
      <c r="K20" s="10">
        <f>Table2[[#This Row],[Order Quantity]]*Table2[[#This Row],[Price per Unit]]</f>
        <v>22736.639999999999</v>
      </c>
    </row>
    <row r="21" spans="1:11">
      <c r="A21" s="1" t="s">
        <v>39</v>
      </c>
      <c r="B21" s="1" t="s">
        <v>25</v>
      </c>
      <c r="C21" s="1" t="s">
        <v>22</v>
      </c>
      <c r="D21" s="10">
        <v>1984</v>
      </c>
      <c r="E21" s="10">
        <v>1845</v>
      </c>
      <c r="F21" s="4">
        <v>134</v>
      </c>
      <c r="G21" s="2">
        <v>45387</v>
      </c>
      <c r="H21" s="21">
        <f t="shared" si="0"/>
        <v>45383</v>
      </c>
      <c r="I21" s="26">
        <v>45388</v>
      </c>
      <c r="J21" s="3">
        <v>14.51</v>
      </c>
      <c r="K21" s="10">
        <f>Table2[[#This Row],[Order Quantity]]*Table2[[#This Row],[Price per Unit]]</f>
        <v>28787.84</v>
      </c>
    </row>
    <row r="22" spans="1:11">
      <c r="A22" s="1" t="s">
        <v>40</v>
      </c>
      <c r="B22" s="1" t="s">
        <v>12</v>
      </c>
      <c r="C22" s="1" t="s">
        <v>22</v>
      </c>
      <c r="D22" s="10">
        <v>2257</v>
      </c>
      <c r="E22" s="10">
        <v>2078</v>
      </c>
      <c r="F22" s="4">
        <v>108</v>
      </c>
      <c r="G22" s="2">
        <v>45320</v>
      </c>
      <c r="H22" s="21">
        <f t="shared" si="0"/>
        <v>45292</v>
      </c>
      <c r="I22" s="26">
        <v>45321</v>
      </c>
      <c r="J22" s="3">
        <v>15.8</v>
      </c>
      <c r="K22" s="10">
        <f>Table2[[#This Row],[Order Quantity]]*Table2[[#This Row],[Price per Unit]]</f>
        <v>35660.6</v>
      </c>
    </row>
    <row r="23" spans="1:11">
      <c r="A23" s="1" t="s">
        <v>41</v>
      </c>
      <c r="B23" s="1" t="s">
        <v>27</v>
      </c>
      <c r="C23" s="1" t="s">
        <v>13</v>
      </c>
      <c r="D23" s="10">
        <v>2222</v>
      </c>
      <c r="E23" s="10">
        <v>2231</v>
      </c>
      <c r="F23" s="4">
        <v>159</v>
      </c>
      <c r="G23" s="2">
        <v>45353</v>
      </c>
      <c r="H23" s="21">
        <f t="shared" si="0"/>
        <v>45352</v>
      </c>
      <c r="I23" s="26">
        <v>45353</v>
      </c>
      <c r="J23" s="3">
        <v>17.489999999999998</v>
      </c>
      <c r="K23" s="10">
        <f>Table2[[#This Row],[Order Quantity]]*Table2[[#This Row],[Price per Unit]]</f>
        <v>38862.78</v>
      </c>
    </row>
    <row r="24" spans="1:11">
      <c r="A24" s="1" t="s">
        <v>42</v>
      </c>
      <c r="B24" s="1" t="s">
        <v>18</v>
      </c>
      <c r="C24" s="1" t="s">
        <v>16</v>
      </c>
      <c r="D24" s="10">
        <v>3560</v>
      </c>
      <c r="E24" s="10">
        <v>3669</v>
      </c>
      <c r="F24" s="4">
        <v>243</v>
      </c>
      <c r="G24" s="2">
        <v>45577</v>
      </c>
      <c r="H24" s="21">
        <f t="shared" si="0"/>
        <v>45566</v>
      </c>
      <c r="I24" s="26">
        <v>45580</v>
      </c>
      <c r="J24" s="3">
        <v>8.73</v>
      </c>
      <c r="K24" s="10">
        <f>Table2[[#This Row],[Order Quantity]]*Table2[[#This Row],[Price per Unit]]</f>
        <v>31078.800000000003</v>
      </c>
    </row>
    <row r="25" spans="1:11">
      <c r="A25" s="1" t="s">
        <v>43</v>
      </c>
      <c r="B25" s="1" t="s">
        <v>15</v>
      </c>
      <c r="C25" s="1" t="s">
        <v>16</v>
      </c>
      <c r="D25" s="10">
        <v>2163</v>
      </c>
      <c r="E25" s="10">
        <v>2208</v>
      </c>
      <c r="F25" s="4">
        <v>160</v>
      </c>
      <c r="G25" s="2">
        <v>45516</v>
      </c>
      <c r="H25" s="21">
        <f t="shared" si="0"/>
        <v>45505</v>
      </c>
      <c r="I25" s="26">
        <v>45516</v>
      </c>
      <c r="J25" s="3">
        <v>11.36</v>
      </c>
      <c r="K25" s="10">
        <f>Table2[[#This Row],[Order Quantity]]*Table2[[#This Row],[Price per Unit]]</f>
        <v>24571.68</v>
      </c>
    </row>
    <row r="26" spans="1:11">
      <c r="A26" s="1" t="s">
        <v>44</v>
      </c>
      <c r="B26" s="1" t="s">
        <v>18</v>
      </c>
      <c r="C26" s="1" t="s">
        <v>45</v>
      </c>
      <c r="D26" s="10">
        <v>1806</v>
      </c>
      <c r="E26" s="10">
        <v>1741</v>
      </c>
      <c r="F26" s="4">
        <v>117</v>
      </c>
      <c r="G26" s="2">
        <v>45650</v>
      </c>
      <c r="H26" s="21">
        <f t="shared" si="0"/>
        <v>45627</v>
      </c>
      <c r="I26" s="26">
        <v>45653</v>
      </c>
      <c r="J26" s="3">
        <v>22.21</v>
      </c>
      <c r="K26" s="10">
        <f>Table2[[#This Row],[Order Quantity]]*Table2[[#This Row],[Price per Unit]]</f>
        <v>40111.26</v>
      </c>
    </row>
    <row r="27" spans="1:11">
      <c r="A27" s="1" t="s">
        <v>46</v>
      </c>
      <c r="B27" s="1" t="s">
        <v>27</v>
      </c>
      <c r="C27" s="1" t="s">
        <v>22</v>
      </c>
      <c r="D27" s="10">
        <v>4913</v>
      </c>
      <c r="E27" s="10">
        <v>4585</v>
      </c>
      <c r="F27" s="4">
        <v>84</v>
      </c>
      <c r="G27" s="2">
        <v>45606</v>
      </c>
      <c r="H27" s="21">
        <f t="shared" si="0"/>
        <v>45597</v>
      </c>
      <c r="I27" s="26">
        <v>45609</v>
      </c>
      <c r="J27" s="3">
        <v>11.75</v>
      </c>
      <c r="K27" s="10">
        <f>Table2[[#This Row],[Order Quantity]]*Table2[[#This Row],[Price per Unit]]</f>
        <v>57727.75</v>
      </c>
    </row>
    <row r="28" spans="1:11">
      <c r="A28" s="1" t="s">
        <v>47</v>
      </c>
      <c r="B28" s="1" t="s">
        <v>27</v>
      </c>
      <c r="C28" s="1" t="s">
        <v>45</v>
      </c>
      <c r="D28" s="10">
        <v>4243</v>
      </c>
      <c r="E28" s="10">
        <v>4148</v>
      </c>
      <c r="F28" s="4">
        <v>245</v>
      </c>
      <c r="G28" s="2">
        <v>45343</v>
      </c>
      <c r="H28" s="21">
        <f t="shared" si="0"/>
        <v>45323</v>
      </c>
      <c r="I28" s="26">
        <v>45344</v>
      </c>
      <c r="J28" s="3">
        <v>12.27</v>
      </c>
      <c r="K28" s="10">
        <f>Table2[[#This Row],[Order Quantity]]*Table2[[#This Row],[Price per Unit]]</f>
        <v>52061.61</v>
      </c>
    </row>
    <row r="29" spans="1:11">
      <c r="A29" s="1" t="s">
        <v>48</v>
      </c>
      <c r="B29" s="1" t="s">
        <v>12</v>
      </c>
      <c r="C29" s="1" t="s">
        <v>16</v>
      </c>
      <c r="D29" s="10">
        <v>4081</v>
      </c>
      <c r="E29" s="10">
        <v>4099</v>
      </c>
      <c r="F29" s="4">
        <v>245</v>
      </c>
      <c r="G29" s="2">
        <v>45372</v>
      </c>
      <c r="H29" s="21">
        <f t="shared" si="0"/>
        <v>45352</v>
      </c>
      <c r="I29" s="26">
        <v>45372</v>
      </c>
      <c r="J29" s="3">
        <v>7.96</v>
      </c>
      <c r="K29" s="10">
        <f>Table2[[#This Row],[Order Quantity]]*Table2[[#This Row],[Price per Unit]]</f>
        <v>32484.76</v>
      </c>
    </row>
    <row r="30" spans="1:11">
      <c r="A30" s="1" t="s">
        <v>49</v>
      </c>
      <c r="B30" s="1" t="s">
        <v>15</v>
      </c>
      <c r="C30" s="1" t="s">
        <v>13</v>
      </c>
      <c r="D30" s="10">
        <v>2660</v>
      </c>
      <c r="E30" s="10">
        <v>2783</v>
      </c>
      <c r="F30" s="4">
        <v>107</v>
      </c>
      <c r="G30" s="2">
        <v>45515</v>
      </c>
      <c r="H30" s="21">
        <f t="shared" si="0"/>
        <v>45505</v>
      </c>
      <c r="I30" s="26">
        <v>45515</v>
      </c>
      <c r="J30" s="3">
        <v>5.66</v>
      </c>
      <c r="K30" s="10">
        <f>Table2[[#This Row],[Order Quantity]]*Table2[[#This Row],[Price per Unit]]</f>
        <v>15055.6</v>
      </c>
    </row>
    <row r="31" spans="1:11">
      <c r="A31" s="1" t="s">
        <v>50</v>
      </c>
      <c r="B31" s="1" t="s">
        <v>27</v>
      </c>
      <c r="C31" s="1" t="s">
        <v>20</v>
      </c>
      <c r="D31" s="10">
        <v>3974</v>
      </c>
      <c r="E31" s="10">
        <v>3982</v>
      </c>
      <c r="F31" s="4">
        <v>187</v>
      </c>
      <c r="G31" s="2">
        <v>45489</v>
      </c>
      <c r="H31" s="21">
        <f t="shared" si="0"/>
        <v>45474</v>
      </c>
      <c r="I31" s="26">
        <v>45496</v>
      </c>
      <c r="J31" s="3">
        <v>13.96</v>
      </c>
      <c r="K31" s="10">
        <f>Table2[[#This Row],[Order Quantity]]*Table2[[#This Row],[Price per Unit]]</f>
        <v>55477.04</v>
      </c>
    </row>
    <row r="32" spans="1:11">
      <c r="A32" s="1" t="s">
        <v>51</v>
      </c>
      <c r="B32" s="1" t="s">
        <v>18</v>
      </c>
      <c r="C32" s="1" t="s">
        <v>20</v>
      </c>
      <c r="D32" s="10">
        <v>4010</v>
      </c>
      <c r="E32" s="10">
        <v>4067</v>
      </c>
      <c r="F32" s="4">
        <v>108</v>
      </c>
      <c r="G32" s="2">
        <v>45571</v>
      </c>
      <c r="H32" s="21">
        <f t="shared" si="0"/>
        <v>45566</v>
      </c>
      <c r="I32" s="26">
        <v>45573</v>
      </c>
      <c r="J32" s="3">
        <v>19.559999999999999</v>
      </c>
      <c r="K32" s="10">
        <f>Table2[[#This Row],[Order Quantity]]*Table2[[#This Row],[Price per Unit]]</f>
        <v>78435.599999999991</v>
      </c>
    </row>
    <row r="33" spans="1:11">
      <c r="A33" s="1" t="s">
        <v>52</v>
      </c>
      <c r="B33" s="1" t="s">
        <v>12</v>
      </c>
      <c r="C33" s="1" t="s">
        <v>13</v>
      </c>
      <c r="D33" s="10">
        <v>3431</v>
      </c>
      <c r="E33" s="10">
        <v>3594</v>
      </c>
      <c r="F33" s="4">
        <v>136</v>
      </c>
      <c r="G33" s="2">
        <v>45435</v>
      </c>
      <c r="H33" s="21">
        <f t="shared" si="0"/>
        <v>45413</v>
      </c>
      <c r="I33" s="26">
        <v>45435</v>
      </c>
      <c r="J33" s="3">
        <v>21.33</v>
      </c>
      <c r="K33" s="10">
        <f>Table2[[#This Row],[Order Quantity]]*Table2[[#This Row],[Price per Unit]]</f>
        <v>73183.23</v>
      </c>
    </row>
    <row r="34" spans="1:11">
      <c r="A34" s="1" t="s">
        <v>53</v>
      </c>
      <c r="B34" s="1" t="s">
        <v>18</v>
      </c>
      <c r="C34" s="1" t="s">
        <v>45</v>
      </c>
      <c r="D34" s="10">
        <v>3772</v>
      </c>
      <c r="E34" s="10">
        <v>3576</v>
      </c>
      <c r="F34" s="4">
        <v>82</v>
      </c>
      <c r="G34" s="2">
        <v>45439</v>
      </c>
      <c r="H34" s="21">
        <f t="shared" si="0"/>
        <v>45413</v>
      </c>
      <c r="I34" s="26">
        <v>45440</v>
      </c>
      <c r="J34" s="3">
        <v>5.82</v>
      </c>
      <c r="K34" s="10">
        <f>Table2[[#This Row],[Order Quantity]]*Table2[[#This Row],[Price per Unit]]</f>
        <v>21953.040000000001</v>
      </c>
    </row>
    <row r="35" spans="1:11">
      <c r="A35" s="1" t="s">
        <v>54</v>
      </c>
      <c r="B35" s="1" t="s">
        <v>27</v>
      </c>
      <c r="C35" s="1" t="s">
        <v>20</v>
      </c>
      <c r="D35" s="10">
        <v>1869</v>
      </c>
      <c r="E35" s="10">
        <v>1825</v>
      </c>
      <c r="F35" s="4">
        <v>47</v>
      </c>
      <c r="G35" s="2">
        <v>45599</v>
      </c>
      <c r="H35" s="21">
        <f t="shared" si="0"/>
        <v>45597</v>
      </c>
      <c r="I35" s="26">
        <v>45599</v>
      </c>
      <c r="J35" s="3">
        <v>17.899999999999999</v>
      </c>
      <c r="K35" s="10">
        <f>Table2[[#This Row],[Order Quantity]]*Table2[[#This Row],[Price per Unit]]</f>
        <v>33455.1</v>
      </c>
    </row>
    <row r="36" spans="1:11">
      <c r="A36" s="1" t="s">
        <v>55</v>
      </c>
      <c r="B36" s="1" t="s">
        <v>25</v>
      </c>
      <c r="C36" s="1" t="s">
        <v>45</v>
      </c>
      <c r="D36" s="10">
        <v>3476</v>
      </c>
      <c r="E36" s="10">
        <v>3335</v>
      </c>
      <c r="F36" s="4">
        <v>154</v>
      </c>
      <c r="G36" s="2">
        <v>45558</v>
      </c>
      <c r="H36" s="21">
        <f t="shared" si="0"/>
        <v>45536</v>
      </c>
      <c r="I36" s="26">
        <v>45559</v>
      </c>
      <c r="J36" s="3">
        <v>21.75</v>
      </c>
      <c r="K36" s="10">
        <f>Table2[[#This Row],[Order Quantity]]*Table2[[#This Row],[Price per Unit]]</f>
        <v>75603</v>
      </c>
    </row>
    <row r="37" spans="1:11">
      <c r="A37" s="1" t="s">
        <v>56</v>
      </c>
      <c r="B37" s="1" t="s">
        <v>15</v>
      </c>
      <c r="C37" s="1" t="s">
        <v>13</v>
      </c>
      <c r="D37" s="10">
        <v>4561</v>
      </c>
      <c r="E37" s="10">
        <v>4580</v>
      </c>
      <c r="F37" s="4">
        <v>119</v>
      </c>
      <c r="G37" s="2">
        <v>45403</v>
      </c>
      <c r="H37" s="21">
        <f t="shared" si="0"/>
        <v>45383</v>
      </c>
      <c r="I37" s="26">
        <v>45403</v>
      </c>
      <c r="J37" s="3">
        <v>8.5</v>
      </c>
      <c r="K37" s="10">
        <f>Table2[[#This Row],[Order Quantity]]*Table2[[#This Row],[Price per Unit]]</f>
        <v>38768.5</v>
      </c>
    </row>
    <row r="38" spans="1:11">
      <c r="A38" s="1" t="s">
        <v>57</v>
      </c>
      <c r="B38" s="1" t="s">
        <v>27</v>
      </c>
      <c r="C38" s="1" t="s">
        <v>45</v>
      </c>
      <c r="D38" s="10">
        <v>4143</v>
      </c>
      <c r="E38" s="10">
        <v>3890</v>
      </c>
      <c r="F38" s="4">
        <v>310</v>
      </c>
      <c r="G38" s="2">
        <v>45328</v>
      </c>
      <c r="H38" s="21">
        <f t="shared" si="0"/>
        <v>45323</v>
      </c>
      <c r="I38" s="26">
        <v>45335</v>
      </c>
      <c r="J38" s="3">
        <v>24.31</v>
      </c>
      <c r="K38" s="10">
        <f>Table2[[#This Row],[Order Quantity]]*Table2[[#This Row],[Price per Unit]]</f>
        <v>100716.33</v>
      </c>
    </row>
    <row r="39" spans="1:11">
      <c r="A39" s="1" t="s">
        <v>58</v>
      </c>
      <c r="B39" s="1" t="s">
        <v>12</v>
      </c>
      <c r="C39" s="1" t="s">
        <v>13</v>
      </c>
      <c r="D39" s="10">
        <v>4590</v>
      </c>
      <c r="E39" s="10">
        <v>4260</v>
      </c>
      <c r="F39" s="4">
        <v>125</v>
      </c>
      <c r="G39" s="2">
        <v>45499</v>
      </c>
      <c r="H39" s="21">
        <f t="shared" si="0"/>
        <v>45474</v>
      </c>
      <c r="I39" s="26">
        <v>45499</v>
      </c>
      <c r="J39" s="3">
        <v>19.010000000000002</v>
      </c>
      <c r="K39" s="10">
        <f>Table2[[#This Row],[Order Quantity]]*Table2[[#This Row],[Price per Unit]]</f>
        <v>87255.900000000009</v>
      </c>
    </row>
    <row r="40" spans="1:11">
      <c r="A40" s="1" t="s">
        <v>59</v>
      </c>
      <c r="B40" s="1" t="s">
        <v>18</v>
      </c>
      <c r="C40" s="1" t="s">
        <v>16</v>
      </c>
      <c r="D40" s="10">
        <v>4999</v>
      </c>
      <c r="E40" s="10">
        <v>5164</v>
      </c>
      <c r="F40" s="4">
        <v>333</v>
      </c>
      <c r="G40" s="2">
        <v>45366</v>
      </c>
      <c r="H40" s="21">
        <f t="shared" si="0"/>
        <v>45352</v>
      </c>
      <c r="I40" s="26">
        <v>45366</v>
      </c>
      <c r="J40" s="3">
        <v>17.84</v>
      </c>
      <c r="K40" s="10">
        <f>Table2[[#This Row],[Order Quantity]]*Table2[[#This Row],[Price per Unit]]</f>
        <v>89182.16</v>
      </c>
    </row>
    <row r="41" spans="1:11">
      <c r="A41" s="1" t="s">
        <v>60</v>
      </c>
      <c r="B41" s="1" t="s">
        <v>27</v>
      </c>
      <c r="C41" s="1" t="s">
        <v>13</v>
      </c>
      <c r="D41" s="10">
        <v>1945</v>
      </c>
      <c r="E41" s="10">
        <v>1945</v>
      </c>
      <c r="F41" s="4">
        <v>98</v>
      </c>
      <c r="G41" s="2">
        <v>45390</v>
      </c>
      <c r="H41" s="21">
        <f t="shared" si="0"/>
        <v>45383</v>
      </c>
      <c r="I41" s="26">
        <v>45390</v>
      </c>
      <c r="J41" s="3">
        <v>12.45</v>
      </c>
      <c r="K41" s="10">
        <f>Table2[[#This Row],[Order Quantity]]*Table2[[#This Row],[Price per Unit]]</f>
        <v>24215.25</v>
      </c>
    </row>
    <row r="42" spans="1:11">
      <c r="A42" s="1" t="s">
        <v>61</v>
      </c>
      <c r="B42" s="1" t="s">
        <v>27</v>
      </c>
      <c r="C42" s="1" t="s">
        <v>45</v>
      </c>
      <c r="D42" s="10">
        <v>3461</v>
      </c>
      <c r="E42" s="10">
        <v>3198</v>
      </c>
      <c r="F42" s="4">
        <v>154</v>
      </c>
      <c r="G42" s="2">
        <v>45499</v>
      </c>
      <c r="H42" s="21">
        <f t="shared" si="0"/>
        <v>45474</v>
      </c>
      <c r="I42" s="26">
        <v>45501</v>
      </c>
      <c r="J42" s="3">
        <v>18.84</v>
      </c>
      <c r="K42" s="10">
        <f>Table2[[#This Row],[Order Quantity]]*Table2[[#This Row],[Price per Unit]]</f>
        <v>65205.24</v>
      </c>
    </row>
    <row r="43" spans="1:11">
      <c r="A43" s="1" t="s">
        <v>62</v>
      </c>
      <c r="B43" s="1" t="s">
        <v>12</v>
      </c>
      <c r="C43" s="1" t="s">
        <v>20</v>
      </c>
      <c r="D43" s="10">
        <v>4567</v>
      </c>
      <c r="E43" s="10">
        <v>4598</v>
      </c>
      <c r="F43" s="4">
        <v>122</v>
      </c>
      <c r="G43" s="2">
        <v>45426</v>
      </c>
      <c r="H43" s="21">
        <f t="shared" si="0"/>
        <v>45413</v>
      </c>
      <c r="I43" s="26">
        <v>45426</v>
      </c>
      <c r="J43" s="3">
        <v>11.51</v>
      </c>
      <c r="K43" s="10">
        <f>Table2[[#This Row],[Order Quantity]]*Table2[[#This Row],[Price per Unit]]</f>
        <v>52566.17</v>
      </c>
    </row>
    <row r="44" spans="1:11">
      <c r="A44" s="1" t="s">
        <v>63</v>
      </c>
      <c r="B44" s="1" t="s">
        <v>12</v>
      </c>
      <c r="C44" s="1" t="s">
        <v>16</v>
      </c>
      <c r="D44" s="10">
        <v>4996</v>
      </c>
      <c r="E44" s="10">
        <v>4727</v>
      </c>
      <c r="F44" s="4">
        <v>226</v>
      </c>
      <c r="G44" s="2">
        <v>45313</v>
      </c>
      <c r="H44" s="21">
        <f t="shared" si="0"/>
        <v>45292</v>
      </c>
      <c r="I44" s="26">
        <v>45316</v>
      </c>
      <c r="J44" s="3">
        <v>15.18</v>
      </c>
      <c r="K44" s="10">
        <f>Table2[[#This Row],[Order Quantity]]*Table2[[#This Row],[Price per Unit]]</f>
        <v>75839.28</v>
      </c>
    </row>
    <row r="45" spans="1:11">
      <c r="A45" s="1" t="s">
        <v>64</v>
      </c>
      <c r="B45" s="1" t="s">
        <v>18</v>
      </c>
      <c r="C45" s="1" t="s">
        <v>20</v>
      </c>
      <c r="D45" s="10">
        <v>2193</v>
      </c>
      <c r="E45" s="10">
        <v>2293</v>
      </c>
      <c r="F45" s="4">
        <v>86</v>
      </c>
      <c r="G45" s="2">
        <v>45574</v>
      </c>
      <c r="H45" s="21">
        <f t="shared" si="0"/>
        <v>45566</v>
      </c>
      <c r="I45" s="26">
        <v>45574</v>
      </c>
      <c r="J45" s="3">
        <v>22.84</v>
      </c>
      <c r="K45" s="10">
        <f>Table2[[#This Row],[Order Quantity]]*Table2[[#This Row],[Price per Unit]]</f>
        <v>50088.12</v>
      </c>
    </row>
    <row r="46" spans="1:11">
      <c r="A46" s="1" t="s">
        <v>65</v>
      </c>
      <c r="B46" s="1" t="s">
        <v>25</v>
      </c>
      <c r="C46" s="1" t="s">
        <v>22</v>
      </c>
      <c r="D46" s="10">
        <v>725</v>
      </c>
      <c r="E46" s="10">
        <v>690</v>
      </c>
      <c r="F46" s="4">
        <v>38</v>
      </c>
      <c r="G46" s="2">
        <v>45608</v>
      </c>
      <c r="H46" s="21">
        <f t="shared" si="0"/>
        <v>45597</v>
      </c>
      <c r="I46" s="26">
        <v>45615</v>
      </c>
      <c r="J46" s="3">
        <v>18.38</v>
      </c>
      <c r="K46" s="10">
        <f>Table2[[#This Row],[Order Quantity]]*Table2[[#This Row],[Price per Unit]]</f>
        <v>13325.5</v>
      </c>
    </row>
    <row r="47" spans="1:11">
      <c r="A47" s="1" t="s">
        <v>66</v>
      </c>
      <c r="B47" s="1" t="s">
        <v>12</v>
      </c>
      <c r="C47" s="1" t="s">
        <v>22</v>
      </c>
      <c r="D47" s="10">
        <v>3620</v>
      </c>
      <c r="E47" s="10">
        <v>3281</v>
      </c>
      <c r="F47" s="4">
        <v>261</v>
      </c>
      <c r="G47" s="2">
        <v>45337</v>
      </c>
      <c r="H47" s="21">
        <f t="shared" si="0"/>
        <v>45323</v>
      </c>
      <c r="I47" s="26">
        <v>45339</v>
      </c>
      <c r="J47" s="3">
        <v>14.4</v>
      </c>
      <c r="K47" s="10">
        <f>Table2[[#This Row],[Order Quantity]]*Table2[[#This Row],[Price per Unit]]</f>
        <v>52128</v>
      </c>
    </row>
    <row r="48" spans="1:11">
      <c r="A48" s="1" t="s">
        <v>67</v>
      </c>
      <c r="B48" s="1" t="s">
        <v>12</v>
      </c>
      <c r="C48" s="1" t="s">
        <v>13</v>
      </c>
      <c r="D48" s="10">
        <v>3065</v>
      </c>
      <c r="E48" s="10">
        <v>2928</v>
      </c>
      <c r="F48" s="4">
        <v>32</v>
      </c>
      <c r="G48" s="2">
        <v>45593</v>
      </c>
      <c r="H48" s="21">
        <f t="shared" si="0"/>
        <v>45566</v>
      </c>
      <c r="I48" s="26">
        <v>45595</v>
      </c>
      <c r="J48" s="3">
        <v>23.57</v>
      </c>
      <c r="K48" s="10">
        <f>Table2[[#This Row],[Order Quantity]]*Table2[[#This Row],[Price per Unit]]</f>
        <v>72242.05</v>
      </c>
    </row>
    <row r="49" spans="1:11">
      <c r="A49" s="1" t="s">
        <v>68</v>
      </c>
      <c r="B49" s="1" t="s">
        <v>15</v>
      </c>
      <c r="C49" s="1" t="s">
        <v>20</v>
      </c>
      <c r="D49" s="10">
        <v>1106</v>
      </c>
      <c r="E49" s="10">
        <v>1155</v>
      </c>
      <c r="F49" s="4">
        <v>80</v>
      </c>
      <c r="G49" s="2">
        <v>45452</v>
      </c>
      <c r="H49" s="21">
        <f t="shared" si="0"/>
        <v>45444</v>
      </c>
      <c r="I49" s="26">
        <v>45459</v>
      </c>
      <c r="J49" s="3">
        <v>10.89</v>
      </c>
      <c r="K49" s="10">
        <f>Table2[[#This Row],[Order Quantity]]*Table2[[#This Row],[Price per Unit]]</f>
        <v>12044.34</v>
      </c>
    </row>
    <row r="50" spans="1:11">
      <c r="A50" s="1" t="s">
        <v>69</v>
      </c>
      <c r="B50" s="1" t="s">
        <v>12</v>
      </c>
      <c r="C50" s="1" t="s">
        <v>45</v>
      </c>
      <c r="D50" s="10">
        <v>3894</v>
      </c>
      <c r="E50" s="10">
        <v>3603</v>
      </c>
      <c r="F50" s="4">
        <v>176</v>
      </c>
      <c r="G50" s="2">
        <v>45349</v>
      </c>
      <c r="H50" s="21">
        <f t="shared" si="0"/>
        <v>45323</v>
      </c>
      <c r="I50" s="26">
        <v>45349</v>
      </c>
      <c r="J50" s="3">
        <v>23.72</v>
      </c>
      <c r="K50" s="10">
        <f>Table2[[#This Row],[Order Quantity]]*Table2[[#This Row],[Price per Unit]]</f>
        <v>92365.68</v>
      </c>
    </row>
    <row r="51" spans="1:11">
      <c r="A51" s="1" t="s">
        <v>70</v>
      </c>
      <c r="B51" s="1" t="s">
        <v>27</v>
      </c>
      <c r="C51" s="1" t="s">
        <v>20</v>
      </c>
      <c r="D51" s="10">
        <v>2395</v>
      </c>
      <c r="E51" s="10">
        <v>2180</v>
      </c>
      <c r="F51" s="4">
        <v>53</v>
      </c>
      <c r="G51" s="2">
        <v>45442</v>
      </c>
      <c r="H51" s="21">
        <f t="shared" si="0"/>
        <v>45413</v>
      </c>
      <c r="I51" s="26">
        <v>45442</v>
      </c>
      <c r="J51" s="3">
        <v>18.420000000000002</v>
      </c>
      <c r="K51" s="10">
        <f>Table2[[#This Row],[Order Quantity]]*Table2[[#This Row],[Price per Unit]]</f>
        <v>44115.9</v>
      </c>
    </row>
    <row r="52" spans="1:11">
      <c r="A52" s="1" t="s">
        <v>71</v>
      </c>
      <c r="B52" s="1" t="s">
        <v>27</v>
      </c>
      <c r="C52" s="1" t="s">
        <v>16</v>
      </c>
      <c r="D52" s="10">
        <v>654</v>
      </c>
      <c r="E52" s="10">
        <v>617</v>
      </c>
      <c r="F52" s="4">
        <v>20</v>
      </c>
      <c r="G52" s="2">
        <v>45590</v>
      </c>
      <c r="H52" s="21">
        <f t="shared" si="0"/>
        <v>45566</v>
      </c>
      <c r="I52" s="26">
        <v>45593</v>
      </c>
      <c r="J52" s="3">
        <v>21.97</v>
      </c>
      <c r="K52" s="10">
        <f>Table2[[#This Row],[Order Quantity]]*Table2[[#This Row],[Price per Unit]]</f>
        <v>14368.38</v>
      </c>
    </row>
    <row r="53" spans="1:11">
      <c r="A53" s="1" t="s">
        <v>72</v>
      </c>
      <c r="B53" s="1" t="s">
        <v>18</v>
      </c>
      <c r="C53" s="1" t="s">
        <v>16</v>
      </c>
      <c r="D53" s="10">
        <v>3306</v>
      </c>
      <c r="E53" s="10">
        <v>3183</v>
      </c>
      <c r="F53" s="4">
        <v>88</v>
      </c>
      <c r="G53" s="2">
        <v>45607</v>
      </c>
      <c r="H53" s="21">
        <f t="shared" si="0"/>
        <v>45597</v>
      </c>
      <c r="I53" s="26">
        <v>45607</v>
      </c>
      <c r="J53" s="3">
        <v>17.23</v>
      </c>
      <c r="K53" s="10">
        <f>Table2[[#This Row],[Order Quantity]]*Table2[[#This Row],[Price per Unit]]</f>
        <v>56962.380000000005</v>
      </c>
    </row>
    <row r="54" spans="1:11">
      <c r="A54" s="1" t="s">
        <v>73</v>
      </c>
      <c r="B54" s="1" t="s">
        <v>12</v>
      </c>
      <c r="C54" s="1" t="s">
        <v>45</v>
      </c>
      <c r="D54" s="10">
        <v>3450</v>
      </c>
      <c r="E54" s="10">
        <v>3364</v>
      </c>
      <c r="F54" s="4">
        <v>221</v>
      </c>
      <c r="G54" s="2">
        <v>45433</v>
      </c>
      <c r="H54" s="21">
        <f t="shared" si="0"/>
        <v>45413</v>
      </c>
      <c r="I54" s="26">
        <v>45434</v>
      </c>
      <c r="J54" s="3">
        <v>18</v>
      </c>
      <c r="K54" s="10">
        <f>Table2[[#This Row],[Order Quantity]]*Table2[[#This Row],[Price per Unit]]</f>
        <v>62100</v>
      </c>
    </row>
    <row r="55" spans="1:11">
      <c r="A55" s="1" t="s">
        <v>74</v>
      </c>
      <c r="B55" s="1" t="s">
        <v>12</v>
      </c>
      <c r="C55" s="1" t="s">
        <v>20</v>
      </c>
      <c r="D55" s="10">
        <v>1666</v>
      </c>
      <c r="E55" s="10">
        <v>1593</v>
      </c>
      <c r="F55" s="4">
        <v>26</v>
      </c>
      <c r="G55" s="2">
        <v>45633</v>
      </c>
      <c r="H55" s="21">
        <f t="shared" si="0"/>
        <v>45627</v>
      </c>
      <c r="I55" s="26">
        <v>45633</v>
      </c>
      <c r="J55" s="3">
        <v>16.57</v>
      </c>
      <c r="K55" s="10">
        <f>Table2[[#This Row],[Order Quantity]]*Table2[[#This Row],[Price per Unit]]</f>
        <v>27605.62</v>
      </c>
    </row>
    <row r="56" spans="1:11">
      <c r="A56" s="1" t="s">
        <v>75</v>
      </c>
      <c r="B56" s="1" t="s">
        <v>27</v>
      </c>
      <c r="C56" s="1" t="s">
        <v>13</v>
      </c>
      <c r="D56" s="10">
        <v>4236</v>
      </c>
      <c r="E56" s="10">
        <v>3910</v>
      </c>
      <c r="F56" s="4">
        <v>307</v>
      </c>
      <c r="G56" s="2">
        <v>45349</v>
      </c>
      <c r="H56" s="21">
        <f t="shared" si="0"/>
        <v>45352</v>
      </c>
      <c r="I56" s="26">
        <v>45352</v>
      </c>
      <c r="J56" s="3">
        <v>21.78</v>
      </c>
      <c r="K56" s="10">
        <f>Table2[[#This Row],[Order Quantity]]*Table2[[#This Row],[Price per Unit]]</f>
        <v>92260.08</v>
      </c>
    </row>
    <row r="57" spans="1:11">
      <c r="A57" s="1" t="s">
        <v>76</v>
      </c>
      <c r="B57" s="1" t="s">
        <v>18</v>
      </c>
      <c r="C57" s="1" t="s">
        <v>20</v>
      </c>
      <c r="D57" s="10">
        <v>2215</v>
      </c>
      <c r="E57" s="10">
        <v>2006</v>
      </c>
      <c r="F57" s="4">
        <v>62</v>
      </c>
      <c r="G57" s="2">
        <v>45392</v>
      </c>
      <c r="H57" s="21">
        <f t="shared" si="0"/>
        <v>45383</v>
      </c>
      <c r="I57" s="26">
        <v>45392</v>
      </c>
      <c r="J57" s="3">
        <v>15.74</v>
      </c>
      <c r="K57" s="10">
        <f>Table2[[#This Row],[Order Quantity]]*Table2[[#This Row],[Price per Unit]]</f>
        <v>34864.1</v>
      </c>
    </row>
    <row r="58" spans="1:11">
      <c r="A58" s="1" t="s">
        <v>77</v>
      </c>
      <c r="B58" s="1" t="s">
        <v>18</v>
      </c>
      <c r="C58" s="1" t="s">
        <v>20</v>
      </c>
      <c r="D58" s="10">
        <v>3624</v>
      </c>
      <c r="E58" s="10">
        <v>3409</v>
      </c>
      <c r="F58" s="4">
        <v>264</v>
      </c>
      <c r="G58" s="2">
        <v>45553</v>
      </c>
      <c r="H58" s="21">
        <f t="shared" si="0"/>
        <v>45536</v>
      </c>
      <c r="I58" s="26">
        <v>45555</v>
      </c>
      <c r="J58" s="3">
        <v>14.15</v>
      </c>
      <c r="K58" s="10">
        <f>Table2[[#This Row],[Order Quantity]]*Table2[[#This Row],[Price per Unit]]</f>
        <v>51279.6</v>
      </c>
    </row>
    <row r="59" spans="1:11">
      <c r="A59" s="1" t="s">
        <v>78</v>
      </c>
      <c r="B59" s="1" t="s">
        <v>27</v>
      </c>
      <c r="C59" s="1" t="s">
        <v>22</v>
      </c>
      <c r="D59" s="10">
        <v>1491</v>
      </c>
      <c r="E59" s="10">
        <v>1460</v>
      </c>
      <c r="F59" s="4">
        <v>69</v>
      </c>
      <c r="G59" s="2">
        <v>45599</v>
      </c>
      <c r="H59" s="21">
        <f t="shared" si="0"/>
        <v>45597</v>
      </c>
      <c r="I59" s="26">
        <v>45606</v>
      </c>
      <c r="J59" s="3">
        <v>17.75</v>
      </c>
      <c r="K59" s="10">
        <f>Table2[[#This Row],[Order Quantity]]*Table2[[#This Row],[Price per Unit]]</f>
        <v>26465.25</v>
      </c>
    </row>
    <row r="60" spans="1:11">
      <c r="A60" s="1" t="s">
        <v>79</v>
      </c>
      <c r="B60" s="1" t="s">
        <v>15</v>
      </c>
      <c r="C60" s="1" t="s">
        <v>20</v>
      </c>
      <c r="D60" s="10">
        <v>4864</v>
      </c>
      <c r="E60" s="10">
        <v>5084</v>
      </c>
      <c r="F60" s="4">
        <v>305</v>
      </c>
      <c r="G60" s="2">
        <v>45411</v>
      </c>
      <c r="H60" s="21">
        <f t="shared" si="0"/>
        <v>45413</v>
      </c>
      <c r="I60" s="26">
        <v>45416</v>
      </c>
      <c r="J60" s="3">
        <v>5.82</v>
      </c>
      <c r="K60" s="10">
        <f>Table2[[#This Row],[Order Quantity]]*Table2[[#This Row],[Price per Unit]]</f>
        <v>28308.480000000003</v>
      </c>
    </row>
    <row r="61" spans="1:11">
      <c r="A61" s="1" t="s">
        <v>80</v>
      </c>
      <c r="B61" s="1" t="s">
        <v>12</v>
      </c>
      <c r="C61" s="1" t="s">
        <v>16</v>
      </c>
      <c r="D61" s="10">
        <v>4175</v>
      </c>
      <c r="E61" s="10">
        <v>4223</v>
      </c>
      <c r="F61" s="4">
        <v>116</v>
      </c>
      <c r="G61" s="2">
        <v>45609</v>
      </c>
      <c r="H61" s="21">
        <f t="shared" si="0"/>
        <v>45597</v>
      </c>
      <c r="I61" s="26">
        <v>45614</v>
      </c>
      <c r="J61" s="3">
        <v>8.69</v>
      </c>
      <c r="K61" s="10">
        <f>Table2[[#This Row],[Order Quantity]]*Table2[[#This Row],[Price per Unit]]</f>
        <v>36280.75</v>
      </c>
    </row>
    <row r="62" spans="1:11">
      <c r="A62" s="1" t="s">
        <v>81</v>
      </c>
      <c r="B62" s="1" t="s">
        <v>18</v>
      </c>
      <c r="C62" s="1" t="s">
        <v>45</v>
      </c>
      <c r="D62" s="10">
        <v>1650</v>
      </c>
      <c r="E62" s="10">
        <v>1657</v>
      </c>
      <c r="F62" s="4">
        <v>64</v>
      </c>
      <c r="G62" s="2">
        <v>45292</v>
      </c>
      <c r="H62" s="21">
        <f t="shared" si="0"/>
        <v>45292</v>
      </c>
      <c r="I62" s="26">
        <v>45297</v>
      </c>
      <c r="J62" s="3">
        <v>8.4700000000000006</v>
      </c>
      <c r="K62" s="10">
        <f>Table2[[#This Row],[Order Quantity]]*Table2[[#This Row],[Price per Unit]]</f>
        <v>13975.500000000002</v>
      </c>
    </row>
    <row r="63" spans="1:11">
      <c r="A63" s="1" t="s">
        <v>82</v>
      </c>
      <c r="B63" s="1" t="s">
        <v>18</v>
      </c>
      <c r="C63" s="1" t="s">
        <v>16</v>
      </c>
      <c r="D63" s="10">
        <v>3349</v>
      </c>
      <c r="E63" s="10">
        <v>3134</v>
      </c>
      <c r="F63" s="4">
        <v>51</v>
      </c>
      <c r="G63" s="2">
        <v>45528</v>
      </c>
      <c r="H63" s="21">
        <f t="shared" si="0"/>
        <v>45505</v>
      </c>
      <c r="I63" s="26">
        <v>45530</v>
      </c>
      <c r="J63" s="3">
        <v>8.66</v>
      </c>
      <c r="K63" s="10">
        <f>Table2[[#This Row],[Order Quantity]]*Table2[[#This Row],[Price per Unit]]</f>
        <v>29002.34</v>
      </c>
    </row>
    <row r="64" spans="1:11">
      <c r="A64" s="1" t="s">
        <v>83</v>
      </c>
      <c r="B64" s="1" t="s">
        <v>12</v>
      </c>
      <c r="C64" s="1" t="s">
        <v>16</v>
      </c>
      <c r="D64" s="10">
        <v>3843</v>
      </c>
      <c r="E64" s="10">
        <v>3756</v>
      </c>
      <c r="F64" s="4">
        <v>210</v>
      </c>
      <c r="G64" s="2">
        <v>45640</v>
      </c>
      <c r="H64" s="21">
        <f t="shared" si="0"/>
        <v>45627</v>
      </c>
      <c r="I64" s="26">
        <v>45645</v>
      </c>
      <c r="J64" s="3">
        <v>13.71</v>
      </c>
      <c r="K64" s="10">
        <f>Table2[[#This Row],[Order Quantity]]*Table2[[#This Row],[Price per Unit]]</f>
        <v>52687.530000000006</v>
      </c>
    </row>
    <row r="65" spans="1:11">
      <c r="A65" s="1" t="s">
        <v>84</v>
      </c>
      <c r="B65" s="1" t="s">
        <v>12</v>
      </c>
      <c r="C65" s="1" t="s">
        <v>13</v>
      </c>
      <c r="D65" s="10">
        <v>3647</v>
      </c>
      <c r="E65" s="10">
        <v>3591</v>
      </c>
      <c r="F65" s="4">
        <v>75</v>
      </c>
      <c r="G65" s="2">
        <v>45576</v>
      </c>
      <c r="H65" s="21">
        <f t="shared" si="0"/>
        <v>45566</v>
      </c>
      <c r="I65" s="26">
        <v>45579</v>
      </c>
      <c r="J65" s="3">
        <v>7.4</v>
      </c>
      <c r="K65" s="10">
        <f>Table2[[#This Row],[Order Quantity]]*Table2[[#This Row],[Price per Unit]]</f>
        <v>26987.800000000003</v>
      </c>
    </row>
    <row r="66" spans="1:11">
      <c r="A66" s="1" t="s">
        <v>85</v>
      </c>
      <c r="B66" s="1" t="s">
        <v>12</v>
      </c>
      <c r="C66" s="1" t="s">
        <v>13</v>
      </c>
      <c r="D66" s="10">
        <v>1743</v>
      </c>
      <c r="E66" s="10">
        <v>1580</v>
      </c>
      <c r="F66" s="4">
        <v>20</v>
      </c>
      <c r="G66" s="2">
        <v>45495</v>
      </c>
      <c r="H66" s="21">
        <f t="shared" ref="H66:H129" si="1">DATE(YEAR(I66), MONTH(I66), 1)</f>
        <v>45474</v>
      </c>
      <c r="I66" s="26">
        <v>45502</v>
      </c>
      <c r="J66" s="3">
        <v>22.11</v>
      </c>
      <c r="K66" s="10">
        <f>Table2[[#This Row],[Order Quantity]]*Table2[[#This Row],[Price per Unit]]</f>
        <v>38537.729999999996</v>
      </c>
    </row>
    <row r="67" spans="1:11">
      <c r="A67" s="1" t="s">
        <v>86</v>
      </c>
      <c r="B67" s="1" t="s">
        <v>15</v>
      </c>
      <c r="C67" s="1" t="s">
        <v>45</v>
      </c>
      <c r="D67" s="10">
        <v>2765</v>
      </c>
      <c r="E67" s="10">
        <v>2805</v>
      </c>
      <c r="F67" s="4">
        <v>186</v>
      </c>
      <c r="G67" s="2">
        <v>45545</v>
      </c>
      <c r="H67" s="21">
        <f t="shared" si="1"/>
        <v>45536</v>
      </c>
      <c r="I67" s="26">
        <v>45548</v>
      </c>
      <c r="J67" s="3">
        <v>11.93</v>
      </c>
      <c r="K67" s="10">
        <f>Table2[[#This Row],[Order Quantity]]*Table2[[#This Row],[Price per Unit]]</f>
        <v>32986.449999999997</v>
      </c>
    </row>
    <row r="68" spans="1:11">
      <c r="A68" s="1" t="s">
        <v>87</v>
      </c>
      <c r="B68" s="1" t="s">
        <v>15</v>
      </c>
      <c r="C68" s="1" t="s">
        <v>45</v>
      </c>
      <c r="D68" s="10">
        <v>4952</v>
      </c>
      <c r="E68" s="10">
        <v>4752</v>
      </c>
      <c r="F68" s="4">
        <v>252</v>
      </c>
      <c r="G68" s="2">
        <v>45581</v>
      </c>
      <c r="H68" s="21">
        <f t="shared" si="1"/>
        <v>45566</v>
      </c>
      <c r="I68" s="26">
        <v>45582</v>
      </c>
      <c r="J68" s="3">
        <v>17.7</v>
      </c>
      <c r="K68" s="10">
        <f>Table2[[#This Row],[Order Quantity]]*Table2[[#This Row],[Price per Unit]]</f>
        <v>87650.4</v>
      </c>
    </row>
    <row r="69" spans="1:11">
      <c r="A69" s="1" t="s">
        <v>88</v>
      </c>
      <c r="B69" s="1" t="s">
        <v>12</v>
      </c>
      <c r="C69" s="1" t="s">
        <v>45</v>
      </c>
      <c r="D69" s="10">
        <v>4230</v>
      </c>
      <c r="E69" s="10">
        <v>4126</v>
      </c>
      <c r="F69" s="4">
        <v>288</v>
      </c>
      <c r="G69" s="2">
        <v>45295</v>
      </c>
      <c r="H69" s="21">
        <f t="shared" si="1"/>
        <v>45292</v>
      </c>
      <c r="I69" s="26">
        <v>45302</v>
      </c>
      <c r="J69" s="3">
        <v>18.170000000000002</v>
      </c>
      <c r="K69" s="10">
        <f>Table2[[#This Row],[Order Quantity]]*Table2[[#This Row],[Price per Unit]]</f>
        <v>76859.100000000006</v>
      </c>
    </row>
    <row r="70" spans="1:11">
      <c r="A70" s="1" t="s">
        <v>89</v>
      </c>
      <c r="B70" s="1" t="s">
        <v>12</v>
      </c>
      <c r="C70" s="1" t="s">
        <v>20</v>
      </c>
      <c r="D70" s="10">
        <v>3339</v>
      </c>
      <c r="E70" s="10">
        <v>3477</v>
      </c>
      <c r="F70" s="4">
        <v>264</v>
      </c>
      <c r="G70" s="2">
        <v>45451</v>
      </c>
      <c r="H70" s="21">
        <f t="shared" si="1"/>
        <v>45444</v>
      </c>
      <c r="I70" s="26">
        <v>45451</v>
      </c>
      <c r="J70" s="3">
        <v>22.34</v>
      </c>
      <c r="K70" s="10">
        <f>Table2[[#This Row],[Order Quantity]]*Table2[[#This Row],[Price per Unit]]</f>
        <v>74593.259999999995</v>
      </c>
    </row>
    <row r="71" spans="1:11">
      <c r="A71" s="1" t="s">
        <v>90</v>
      </c>
      <c r="B71" s="1" t="s">
        <v>15</v>
      </c>
      <c r="C71" s="1" t="s">
        <v>22</v>
      </c>
      <c r="D71" s="10">
        <v>1351</v>
      </c>
      <c r="E71" s="10">
        <v>1332</v>
      </c>
      <c r="F71" s="4">
        <v>49</v>
      </c>
      <c r="G71" s="2">
        <v>45470</v>
      </c>
      <c r="H71" s="21">
        <f t="shared" si="1"/>
        <v>45444</v>
      </c>
      <c r="I71" s="26">
        <v>45470</v>
      </c>
      <c r="J71" s="3">
        <v>17.87</v>
      </c>
      <c r="K71" s="10">
        <f>Table2[[#This Row],[Order Quantity]]*Table2[[#This Row],[Price per Unit]]</f>
        <v>24142.370000000003</v>
      </c>
    </row>
    <row r="72" spans="1:11">
      <c r="A72" s="1" t="s">
        <v>91</v>
      </c>
      <c r="B72" s="1" t="s">
        <v>18</v>
      </c>
      <c r="C72" s="1" t="s">
        <v>45</v>
      </c>
      <c r="D72" s="10">
        <v>4413</v>
      </c>
      <c r="E72" s="10">
        <v>4108</v>
      </c>
      <c r="F72" s="4">
        <v>119</v>
      </c>
      <c r="G72" s="2">
        <v>45593</v>
      </c>
      <c r="H72" s="21">
        <f t="shared" si="1"/>
        <v>45566</v>
      </c>
      <c r="I72" s="26">
        <v>45593</v>
      </c>
      <c r="J72" s="3">
        <v>9.2899999999999991</v>
      </c>
      <c r="K72" s="10">
        <f>Table2[[#This Row],[Order Quantity]]*Table2[[#This Row],[Price per Unit]]</f>
        <v>40996.769999999997</v>
      </c>
    </row>
    <row r="73" spans="1:11">
      <c r="A73" s="1" t="s">
        <v>92</v>
      </c>
      <c r="B73" s="1" t="s">
        <v>18</v>
      </c>
      <c r="C73" s="1" t="s">
        <v>22</v>
      </c>
      <c r="D73" s="10">
        <v>3046</v>
      </c>
      <c r="E73" s="10">
        <v>3023</v>
      </c>
      <c r="F73" s="4">
        <v>101</v>
      </c>
      <c r="G73" s="2">
        <v>45384</v>
      </c>
      <c r="H73" s="21">
        <f t="shared" si="1"/>
        <v>45383</v>
      </c>
      <c r="I73" s="26">
        <v>45384</v>
      </c>
      <c r="J73" s="3">
        <v>18.11</v>
      </c>
      <c r="K73" s="10">
        <f>Table2[[#This Row],[Order Quantity]]*Table2[[#This Row],[Price per Unit]]</f>
        <v>55163.06</v>
      </c>
    </row>
    <row r="74" spans="1:11">
      <c r="A74" s="1" t="s">
        <v>93</v>
      </c>
      <c r="B74" s="1" t="s">
        <v>27</v>
      </c>
      <c r="C74" s="1" t="s">
        <v>16</v>
      </c>
      <c r="D74" s="10">
        <v>2125</v>
      </c>
      <c r="E74" s="10">
        <v>2021</v>
      </c>
      <c r="F74" s="4">
        <v>57</v>
      </c>
      <c r="G74" s="2">
        <v>45605</v>
      </c>
      <c r="H74" s="21">
        <f t="shared" si="1"/>
        <v>45597</v>
      </c>
      <c r="I74" s="26">
        <v>45607</v>
      </c>
      <c r="J74" s="3">
        <v>14.92</v>
      </c>
      <c r="K74" s="10">
        <f>Table2[[#This Row],[Order Quantity]]*Table2[[#This Row],[Price per Unit]]</f>
        <v>31705</v>
      </c>
    </row>
    <row r="75" spans="1:11">
      <c r="A75" s="1" t="s">
        <v>94</v>
      </c>
      <c r="B75" s="1" t="s">
        <v>27</v>
      </c>
      <c r="C75" s="1" t="s">
        <v>45</v>
      </c>
      <c r="D75" s="10">
        <v>2016</v>
      </c>
      <c r="E75" s="10">
        <v>2097</v>
      </c>
      <c r="F75" s="4">
        <v>26</v>
      </c>
      <c r="G75" s="2">
        <v>45540</v>
      </c>
      <c r="H75" s="21">
        <f t="shared" si="1"/>
        <v>45536</v>
      </c>
      <c r="I75" s="26">
        <v>45541</v>
      </c>
      <c r="J75" s="3">
        <v>13.36</v>
      </c>
      <c r="K75" s="10">
        <f>Table2[[#This Row],[Order Quantity]]*Table2[[#This Row],[Price per Unit]]</f>
        <v>26933.759999999998</v>
      </c>
    </row>
    <row r="76" spans="1:11">
      <c r="A76" s="1" t="s">
        <v>95</v>
      </c>
      <c r="B76" s="1" t="s">
        <v>18</v>
      </c>
      <c r="C76" s="1" t="s">
        <v>20</v>
      </c>
      <c r="D76" s="10">
        <v>3965</v>
      </c>
      <c r="E76" s="10">
        <v>3820</v>
      </c>
      <c r="F76" s="4">
        <v>190</v>
      </c>
      <c r="G76" s="2">
        <v>45390</v>
      </c>
      <c r="H76" s="21">
        <f t="shared" si="1"/>
        <v>45383</v>
      </c>
      <c r="I76" s="26">
        <v>45397</v>
      </c>
      <c r="J76" s="3">
        <v>16.52</v>
      </c>
      <c r="K76" s="10">
        <f>Table2[[#This Row],[Order Quantity]]*Table2[[#This Row],[Price per Unit]]</f>
        <v>65501.799999999996</v>
      </c>
    </row>
    <row r="77" spans="1:11">
      <c r="A77" s="1" t="s">
        <v>96</v>
      </c>
      <c r="B77" s="1" t="s">
        <v>25</v>
      </c>
      <c r="C77" s="1" t="s">
        <v>13</v>
      </c>
      <c r="D77" s="10">
        <v>2071</v>
      </c>
      <c r="E77" s="10">
        <v>1979</v>
      </c>
      <c r="F77" s="4">
        <v>127</v>
      </c>
      <c r="G77" s="2">
        <v>45481</v>
      </c>
      <c r="H77" s="21">
        <f t="shared" si="1"/>
        <v>45474</v>
      </c>
      <c r="I77" s="26">
        <v>45488</v>
      </c>
      <c r="J77" s="3">
        <v>11.82</v>
      </c>
      <c r="K77" s="10">
        <f>Table2[[#This Row],[Order Quantity]]*Table2[[#This Row],[Price per Unit]]</f>
        <v>24479.22</v>
      </c>
    </row>
    <row r="78" spans="1:11">
      <c r="A78" s="1" t="s">
        <v>97</v>
      </c>
      <c r="B78" s="1" t="s">
        <v>15</v>
      </c>
      <c r="C78" s="1" t="s">
        <v>13</v>
      </c>
      <c r="D78" s="10">
        <v>4632</v>
      </c>
      <c r="E78" s="10">
        <v>4334</v>
      </c>
      <c r="F78" s="4">
        <v>249</v>
      </c>
      <c r="G78" s="2">
        <v>45646</v>
      </c>
      <c r="H78" s="21">
        <f t="shared" si="1"/>
        <v>45627</v>
      </c>
      <c r="I78" s="26">
        <v>45646</v>
      </c>
      <c r="J78" s="3">
        <v>19.8</v>
      </c>
      <c r="K78" s="10">
        <f>Table2[[#This Row],[Order Quantity]]*Table2[[#This Row],[Price per Unit]]</f>
        <v>91713.600000000006</v>
      </c>
    </row>
    <row r="79" spans="1:11">
      <c r="A79" s="1" t="s">
        <v>98</v>
      </c>
      <c r="B79" s="1" t="s">
        <v>18</v>
      </c>
      <c r="C79" s="1" t="s">
        <v>22</v>
      </c>
      <c r="D79" s="10">
        <v>4452</v>
      </c>
      <c r="E79" s="10">
        <v>4344</v>
      </c>
      <c r="F79" s="4">
        <v>294</v>
      </c>
      <c r="G79" s="2">
        <v>45478</v>
      </c>
      <c r="H79" s="21">
        <f t="shared" si="1"/>
        <v>45474</v>
      </c>
      <c r="I79" s="26">
        <v>45478</v>
      </c>
      <c r="J79" s="3">
        <v>11.4</v>
      </c>
      <c r="K79" s="10">
        <f>Table2[[#This Row],[Order Quantity]]*Table2[[#This Row],[Price per Unit]]</f>
        <v>50752.800000000003</v>
      </c>
    </row>
    <row r="80" spans="1:11">
      <c r="A80" s="1" t="s">
        <v>99</v>
      </c>
      <c r="B80" s="1" t="s">
        <v>27</v>
      </c>
      <c r="C80" s="1" t="s">
        <v>22</v>
      </c>
      <c r="D80" s="10">
        <v>895</v>
      </c>
      <c r="E80" s="10">
        <v>934</v>
      </c>
      <c r="F80" s="4">
        <v>64</v>
      </c>
      <c r="G80" s="2">
        <v>45575</v>
      </c>
      <c r="H80" s="21">
        <f t="shared" si="1"/>
        <v>45566</v>
      </c>
      <c r="I80" s="26">
        <v>45578</v>
      </c>
      <c r="J80" s="3">
        <v>12.1</v>
      </c>
      <c r="K80" s="10">
        <f>Table2[[#This Row],[Order Quantity]]*Table2[[#This Row],[Price per Unit]]</f>
        <v>10829.5</v>
      </c>
    </row>
    <row r="81" spans="1:11">
      <c r="A81" s="1" t="s">
        <v>100</v>
      </c>
      <c r="B81" s="1" t="s">
        <v>27</v>
      </c>
      <c r="C81" s="1" t="s">
        <v>20</v>
      </c>
      <c r="D81" s="10">
        <v>3282</v>
      </c>
      <c r="E81" s="10">
        <v>3421</v>
      </c>
      <c r="F81" s="4">
        <v>171</v>
      </c>
      <c r="G81" s="2">
        <v>45360</v>
      </c>
      <c r="H81" s="21">
        <f t="shared" si="1"/>
        <v>45352</v>
      </c>
      <c r="I81" s="26">
        <v>45360</v>
      </c>
      <c r="J81" s="3">
        <v>17.64</v>
      </c>
      <c r="K81" s="10">
        <f>Table2[[#This Row],[Order Quantity]]*Table2[[#This Row],[Price per Unit]]</f>
        <v>57894.48</v>
      </c>
    </row>
    <row r="82" spans="1:11">
      <c r="A82" s="1" t="s">
        <v>101</v>
      </c>
      <c r="B82" s="1" t="s">
        <v>18</v>
      </c>
      <c r="C82" s="1" t="s">
        <v>13</v>
      </c>
      <c r="D82" s="10">
        <v>4991</v>
      </c>
      <c r="E82" s="10">
        <v>4737</v>
      </c>
      <c r="F82" s="4">
        <v>270</v>
      </c>
      <c r="G82" s="2">
        <v>45442</v>
      </c>
      <c r="H82" s="21">
        <f t="shared" si="1"/>
        <v>45444</v>
      </c>
      <c r="I82" s="26">
        <v>45449</v>
      </c>
      <c r="J82" s="3">
        <v>20.05</v>
      </c>
      <c r="K82" s="10">
        <f>Table2[[#This Row],[Order Quantity]]*Table2[[#This Row],[Price per Unit]]</f>
        <v>100069.55</v>
      </c>
    </row>
    <row r="83" spans="1:11">
      <c r="A83" s="1" t="s">
        <v>102</v>
      </c>
      <c r="B83" s="1" t="s">
        <v>27</v>
      </c>
      <c r="C83" s="1" t="s">
        <v>13</v>
      </c>
      <c r="D83" s="10">
        <v>3116</v>
      </c>
      <c r="E83" s="10">
        <v>2857</v>
      </c>
      <c r="F83" s="4">
        <v>214</v>
      </c>
      <c r="G83" s="2">
        <v>45514</v>
      </c>
      <c r="H83" s="21">
        <f t="shared" si="1"/>
        <v>45505</v>
      </c>
      <c r="I83" s="26">
        <v>45514</v>
      </c>
      <c r="J83" s="3">
        <v>24.48</v>
      </c>
      <c r="K83" s="10">
        <f>Table2[[#This Row],[Order Quantity]]*Table2[[#This Row],[Price per Unit]]</f>
        <v>76279.680000000008</v>
      </c>
    </row>
    <row r="84" spans="1:11">
      <c r="A84" s="1" t="s">
        <v>103</v>
      </c>
      <c r="B84" s="1" t="s">
        <v>15</v>
      </c>
      <c r="C84" s="1" t="s">
        <v>16</v>
      </c>
      <c r="D84" s="10">
        <v>1656</v>
      </c>
      <c r="E84" s="10">
        <v>1673</v>
      </c>
      <c r="F84" s="4">
        <v>80</v>
      </c>
      <c r="G84" s="2">
        <v>45530</v>
      </c>
      <c r="H84" s="21">
        <f t="shared" si="1"/>
        <v>45505</v>
      </c>
      <c r="I84" s="26">
        <v>45531</v>
      </c>
      <c r="J84" s="3">
        <v>19.12</v>
      </c>
      <c r="K84" s="10">
        <f>Table2[[#This Row],[Order Quantity]]*Table2[[#This Row],[Price per Unit]]</f>
        <v>31662.720000000001</v>
      </c>
    </row>
    <row r="85" spans="1:11">
      <c r="A85" s="1" t="s">
        <v>104</v>
      </c>
      <c r="B85" s="1" t="s">
        <v>27</v>
      </c>
      <c r="C85" s="1" t="s">
        <v>13</v>
      </c>
      <c r="D85" s="10">
        <v>1453</v>
      </c>
      <c r="E85" s="10">
        <v>1442</v>
      </c>
      <c r="F85" s="4">
        <v>24</v>
      </c>
      <c r="G85" s="2">
        <v>45432</v>
      </c>
      <c r="H85" s="21">
        <f t="shared" si="1"/>
        <v>45413</v>
      </c>
      <c r="I85" s="26">
        <v>45439</v>
      </c>
      <c r="J85" s="3">
        <v>6.68</v>
      </c>
      <c r="K85" s="10">
        <f>Table2[[#This Row],[Order Quantity]]*Table2[[#This Row],[Price per Unit]]</f>
        <v>9706.0399999999991</v>
      </c>
    </row>
    <row r="86" spans="1:11">
      <c r="A86" s="1" t="s">
        <v>105</v>
      </c>
      <c r="B86" s="1" t="s">
        <v>27</v>
      </c>
      <c r="C86" s="1" t="s">
        <v>16</v>
      </c>
      <c r="D86" s="10">
        <v>3493</v>
      </c>
      <c r="E86" s="10">
        <v>3611</v>
      </c>
      <c r="F86" s="4">
        <v>73</v>
      </c>
      <c r="G86" s="2">
        <v>45630</v>
      </c>
      <c r="H86" s="21">
        <f t="shared" si="1"/>
        <v>45627</v>
      </c>
      <c r="I86" s="26">
        <v>45637</v>
      </c>
      <c r="J86" s="3">
        <v>15.27</v>
      </c>
      <c r="K86" s="10">
        <f>Table2[[#This Row],[Order Quantity]]*Table2[[#This Row],[Price per Unit]]</f>
        <v>53338.11</v>
      </c>
    </row>
    <row r="87" spans="1:11">
      <c r="A87" s="1" t="s">
        <v>106</v>
      </c>
      <c r="B87" s="1" t="s">
        <v>25</v>
      </c>
      <c r="C87" s="1" t="s">
        <v>16</v>
      </c>
      <c r="D87" s="10">
        <v>1888</v>
      </c>
      <c r="E87" s="10">
        <v>1804</v>
      </c>
      <c r="F87" s="4">
        <v>120</v>
      </c>
      <c r="G87" s="2">
        <v>45508</v>
      </c>
      <c r="H87" s="21">
        <f t="shared" si="1"/>
        <v>45505</v>
      </c>
      <c r="I87" s="26">
        <v>45510</v>
      </c>
      <c r="J87" s="3">
        <v>23.94</v>
      </c>
      <c r="K87" s="10">
        <f>Table2[[#This Row],[Order Quantity]]*Table2[[#This Row],[Price per Unit]]</f>
        <v>45198.720000000001</v>
      </c>
    </row>
    <row r="88" spans="1:11">
      <c r="A88" s="1" t="s">
        <v>107</v>
      </c>
      <c r="B88" s="1" t="s">
        <v>15</v>
      </c>
      <c r="C88" s="1" t="s">
        <v>45</v>
      </c>
      <c r="D88" s="10">
        <v>1655</v>
      </c>
      <c r="E88" s="10">
        <v>1576</v>
      </c>
      <c r="F88" s="4">
        <v>93</v>
      </c>
      <c r="G88" s="2">
        <v>45655</v>
      </c>
      <c r="H88" s="21">
        <f t="shared" si="1"/>
        <v>45658</v>
      </c>
      <c r="I88" s="26">
        <v>45658</v>
      </c>
      <c r="J88" s="3">
        <v>14.63</v>
      </c>
      <c r="K88" s="10">
        <f>Table2[[#This Row],[Order Quantity]]*Table2[[#This Row],[Price per Unit]]</f>
        <v>24212.65</v>
      </c>
    </row>
    <row r="89" spans="1:11">
      <c r="A89" s="1" t="s">
        <v>108</v>
      </c>
      <c r="B89" s="1" t="s">
        <v>12</v>
      </c>
      <c r="C89" s="1" t="s">
        <v>22</v>
      </c>
      <c r="D89" s="10">
        <v>2714</v>
      </c>
      <c r="E89" s="10">
        <v>2615</v>
      </c>
      <c r="F89" s="4">
        <v>192</v>
      </c>
      <c r="G89" s="2">
        <v>45464</v>
      </c>
      <c r="H89" s="21">
        <f t="shared" si="1"/>
        <v>45444</v>
      </c>
      <c r="I89" s="26">
        <v>45466</v>
      </c>
      <c r="J89" s="3">
        <v>7.22</v>
      </c>
      <c r="K89" s="10">
        <f>Table2[[#This Row],[Order Quantity]]*Table2[[#This Row],[Price per Unit]]</f>
        <v>19595.079999999998</v>
      </c>
    </row>
    <row r="90" spans="1:11">
      <c r="A90" s="1" t="s">
        <v>109</v>
      </c>
      <c r="B90" s="1" t="s">
        <v>15</v>
      </c>
      <c r="C90" s="1" t="s">
        <v>45</v>
      </c>
      <c r="D90" s="10">
        <v>1743</v>
      </c>
      <c r="E90" s="10">
        <v>1718</v>
      </c>
      <c r="F90" s="4">
        <v>106</v>
      </c>
      <c r="G90" s="2">
        <v>45652</v>
      </c>
      <c r="H90" s="21">
        <f t="shared" si="1"/>
        <v>45627</v>
      </c>
      <c r="I90" s="26">
        <v>45657</v>
      </c>
      <c r="J90" s="3">
        <v>20.34</v>
      </c>
      <c r="K90" s="10">
        <f>Table2[[#This Row],[Order Quantity]]*Table2[[#This Row],[Price per Unit]]</f>
        <v>35452.620000000003</v>
      </c>
    </row>
    <row r="91" spans="1:11">
      <c r="A91" s="1" t="s">
        <v>110</v>
      </c>
      <c r="B91" s="1" t="s">
        <v>27</v>
      </c>
      <c r="C91" s="1" t="s">
        <v>22</v>
      </c>
      <c r="D91" s="10">
        <v>3572</v>
      </c>
      <c r="E91" s="10">
        <v>3579</v>
      </c>
      <c r="F91" s="4">
        <v>95</v>
      </c>
      <c r="G91" s="2">
        <v>45603</v>
      </c>
      <c r="H91" s="21">
        <f t="shared" si="1"/>
        <v>45597</v>
      </c>
      <c r="I91" s="26">
        <v>45603</v>
      </c>
      <c r="J91" s="3">
        <v>13</v>
      </c>
      <c r="K91" s="10">
        <f>Table2[[#This Row],[Order Quantity]]*Table2[[#This Row],[Price per Unit]]</f>
        <v>46436</v>
      </c>
    </row>
    <row r="92" spans="1:11">
      <c r="A92" s="1" t="s">
        <v>111</v>
      </c>
      <c r="B92" s="1" t="s">
        <v>12</v>
      </c>
      <c r="C92" s="1" t="s">
        <v>13</v>
      </c>
      <c r="D92" s="10">
        <v>633</v>
      </c>
      <c r="E92" s="10">
        <v>645</v>
      </c>
      <c r="F92" s="4">
        <v>50</v>
      </c>
      <c r="G92" s="2">
        <v>45594</v>
      </c>
      <c r="H92" s="21">
        <f t="shared" si="1"/>
        <v>45566</v>
      </c>
      <c r="I92" s="26">
        <v>45596</v>
      </c>
      <c r="J92" s="3">
        <v>16.12</v>
      </c>
      <c r="K92" s="10">
        <f>Table2[[#This Row],[Order Quantity]]*Table2[[#This Row],[Price per Unit]]</f>
        <v>10203.960000000001</v>
      </c>
    </row>
    <row r="93" spans="1:11">
      <c r="A93" s="1" t="s">
        <v>112</v>
      </c>
      <c r="B93" s="1" t="s">
        <v>27</v>
      </c>
      <c r="C93" s="1" t="s">
        <v>22</v>
      </c>
      <c r="D93" s="10">
        <v>4675</v>
      </c>
      <c r="E93" s="10">
        <v>4577</v>
      </c>
      <c r="F93" s="4">
        <v>363</v>
      </c>
      <c r="G93" s="2">
        <v>45518</v>
      </c>
      <c r="H93" s="21">
        <f t="shared" si="1"/>
        <v>45505</v>
      </c>
      <c r="I93" s="26">
        <v>45518</v>
      </c>
      <c r="J93" s="3">
        <v>6.48</v>
      </c>
      <c r="K93" s="10">
        <f>Table2[[#This Row],[Order Quantity]]*Table2[[#This Row],[Price per Unit]]</f>
        <v>30294.000000000004</v>
      </c>
    </row>
    <row r="94" spans="1:11">
      <c r="A94" s="1" t="s">
        <v>113</v>
      </c>
      <c r="B94" s="1" t="s">
        <v>18</v>
      </c>
      <c r="C94" s="1" t="s">
        <v>45</v>
      </c>
      <c r="D94" s="10">
        <v>4012</v>
      </c>
      <c r="E94" s="10">
        <v>3925</v>
      </c>
      <c r="F94" s="4">
        <v>212</v>
      </c>
      <c r="G94" s="2">
        <v>45292</v>
      </c>
      <c r="H94" s="21">
        <f t="shared" si="1"/>
        <v>45292</v>
      </c>
      <c r="I94" s="26">
        <v>45294</v>
      </c>
      <c r="J94" s="3">
        <v>18.91</v>
      </c>
      <c r="K94" s="10">
        <f>Table2[[#This Row],[Order Quantity]]*Table2[[#This Row],[Price per Unit]]</f>
        <v>75866.92</v>
      </c>
    </row>
    <row r="95" spans="1:11">
      <c r="A95" s="1" t="s">
        <v>114</v>
      </c>
      <c r="B95" s="1" t="s">
        <v>15</v>
      </c>
      <c r="C95" s="1" t="s">
        <v>20</v>
      </c>
      <c r="D95" s="10">
        <v>4137</v>
      </c>
      <c r="E95" s="10">
        <v>4085</v>
      </c>
      <c r="F95" s="4">
        <v>298</v>
      </c>
      <c r="G95" s="2">
        <v>45303</v>
      </c>
      <c r="H95" s="21">
        <f t="shared" si="1"/>
        <v>45292</v>
      </c>
      <c r="I95" s="26">
        <v>45303</v>
      </c>
      <c r="J95" s="3">
        <v>5.91</v>
      </c>
      <c r="K95" s="10">
        <f>Table2[[#This Row],[Order Quantity]]*Table2[[#This Row],[Price per Unit]]</f>
        <v>24449.670000000002</v>
      </c>
    </row>
    <row r="96" spans="1:11">
      <c r="A96" s="1" t="s">
        <v>115</v>
      </c>
      <c r="B96" s="1" t="s">
        <v>15</v>
      </c>
      <c r="C96" s="1" t="s">
        <v>13</v>
      </c>
      <c r="D96" s="10">
        <v>3283</v>
      </c>
      <c r="E96" s="10">
        <v>2983</v>
      </c>
      <c r="F96" s="4">
        <v>112</v>
      </c>
      <c r="G96" s="2">
        <v>45299</v>
      </c>
      <c r="H96" s="21">
        <f t="shared" si="1"/>
        <v>45292</v>
      </c>
      <c r="I96" s="26">
        <v>45299</v>
      </c>
      <c r="J96" s="3">
        <v>7.14</v>
      </c>
      <c r="K96" s="10">
        <f>Table2[[#This Row],[Order Quantity]]*Table2[[#This Row],[Price per Unit]]</f>
        <v>23440.62</v>
      </c>
    </row>
    <row r="97" spans="1:11">
      <c r="A97" s="1" t="s">
        <v>116</v>
      </c>
      <c r="B97" s="1" t="s">
        <v>18</v>
      </c>
      <c r="C97" s="1" t="s">
        <v>22</v>
      </c>
      <c r="D97" s="10">
        <v>4685</v>
      </c>
      <c r="E97" s="10">
        <v>4489</v>
      </c>
      <c r="F97" s="4">
        <v>116</v>
      </c>
      <c r="G97" s="2">
        <v>45648</v>
      </c>
      <c r="H97" s="21">
        <f t="shared" si="1"/>
        <v>45627</v>
      </c>
      <c r="I97" s="26">
        <v>45648</v>
      </c>
      <c r="J97" s="3">
        <v>10.32</v>
      </c>
      <c r="K97" s="10">
        <f>Table2[[#This Row],[Order Quantity]]*Table2[[#This Row],[Price per Unit]]</f>
        <v>48349.200000000004</v>
      </c>
    </row>
    <row r="98" spans="1:11">
      <c r="A98" s="1" t="s">
        <v>117</v>
      </c>
      <c r="B98" s="1" t="s">
        <v>18</v>
      </c>
      <c r="C98" s="1" t="s">
        <v>16</v>
      </c>
      <c r="D98" s="10">
        <v>4275</v>
      </c>
      <c r="E98" s="10">
        <v>4138</v>
      </c>
      <c r="F98" s="4">
        <v>50</v>
      </c>
      <c r="G98" s="2">
        <v>45503</v>
      </c>
      <c r="H98" s="21">
        <f t="shared" si="1"/>
        <v>45505</v>
      </c>
      <c r="I98" s="26">
        <v>45505</v>
      </c>
      <c r="J98" s="3">
        <v>10.6</v>
      </c>
      <c r="K98" s="10">
        <f>Table2[[#This Row],[Order Quantity]]*Table2[[#This Row],[Price per Unit]]</f>
        <v>45315</v>
      </c>
    </row>
    <row r="99" spans="1:11">
      <c r="A99" s="1" t="s">
        <v>118</v>
      </c>
      <c r="B99" s="1" t="s">
        <v>25</v>
      </c>
      <c r="C99" s="1" t="s">
        <v>16</v>
      </c>
      <c r="D99" s="10">
        <v>3279</v>
      </c>
      <c r="E99" s="10">
        <v>3084</v>
      </c>
      <c r="F99" s="4">
        <v>59</v>
      </c>
      <c r="G99" s="2">
        <v>45373</v>
      </c>
      <c r="H99" s="21">
        <f t="shared" si="1"/>
        <v>45352</v>
      </c>
      <c r="I99" s="26">
        <v>45373</v>
      </c>
      <c r="J99" s="3">
        <v>6.52</v>
      </c>
      <c r="K99" s="10">
        <f>Table2[[#This Row],[Order Quantity]]*Table2[[#This Row],[Price per Unit]]</f>
        <v>21379.079999999998</v>
      </c>
    </row>
    <row r="100" spans="1:11">
      <c r="A100" s="1" t="s">
        <v>119</v>
      </c>
      <c r="B100" s="1" t="s">
        <v>12</v>
      </c>
      <c r="C100" s="1" t="s">
        <v>13</v>
      </c>
      <c r="D100" s="10">
        <v>755</v>
      </c>
      <c r="E100" s="10">
        <v>745</v>
      </c>
      <c r="F100" s="4">
        <v>55</v>
      </c>
      <c r="G100" s="2">
        <v>45577</v>
      </c>
      <c r="H100" s="21">
        <f t="shared" si="1"/>
        <v>45566</v>
      </c>
      <c r="I100" s="26">
        <v>45577</v>
      </c>
      <c r="J100" s="3">
        <v>6.65</v>
      </c>
      <c r="K100" s="10">
        <f>Table2[[#This Row],[Order Quantity]]*Table2[[#This Row],[Price per Unit]]</f>
        <v>5020.75</v>
      </c>
    </row>
    <row r="101" spans="1:11">
      <c r="A101" s="1" t="s">
        <v>120</v>
      </c>
      <c r="B101" s="1" t="s">
        <v>12</v>
      </c>
      <c r="C101" s="1" t="s">
        <v>20</v>
      </c>
      <c r="D101" s="10">
        <v>1515</v>
      </c>
      <c r="E101" s="10">
        <v>1449</v>
      </c>
      <c r="F101" s="4">
        <v>96</v>
      </c>
      <c r="G101" s="2">
        <v>45468</v>
      </c>
      <c r="H101" s="21">
        <f t="shared" si="1"/>
        <v>45444</v>
      </c>
      <c r="I101" s="26">
        <v>45468</v>
      </c>
      <c r="J101" s="3">
        <v>24.75</v>
      </c>
      <c r="K101" s="10">
        <f>Table2[[#This Row],[Order Quantity]]*Table2[[#This Row],[Price per Unit]]</f>
        <v>37496.25</v>
      </c>
    </row>
    <row r="102" spans="1:11">
      <c r="A102" s="1" t="s">
        <v>121</v>
      </c>
      <c r="B102" s="1" t="s">
        <v>12</v>
      </c>
      <c r="C102" s="1" t="s">
        <v>22</v>
      </c>
      <c r="D102" s="10">
        <v>4658</v>
      </c>
      <c r="E102" s="10">
        <v>4466</v>
      </c>
      <c r="F102" s="4">
        <v>303</v>
      </c>
      <c r="G102" s="2">
        <v>45389</v>
      </c>
      <c r="H102" s="21">
        <f t="shared" si="1"/>
        <v>45383</v>
      </c>
      <c r="I102" s="26">
        <v>45389</v>
      </c>
      <c r="J102" s="3">
        <v>16.38</v>
      </c>
      <c r="K102" s="10">
        <f>Table2[[#This Row],[Order Quantity]]*Table2[[#This Row],[Price per Unit]]</f>
        <v>76298.039999999994</v>
      </c>
    </row>
    <row r="103" spans="1:11">
      <c r="A103" s="1" t="s">
        <v>122</v>
      </c>
      <c r="B103" s="1" t="s">
        <v>27</v>
      </c>
      <c r="C103" s="1" t="s">
        <v>13</v>
      </c>
      <c r="D103" s="10">
        <v>1010</v>
      </c>
      <c r="E103" s="10">
        <v>950</v>
      </c>
      <c r="F103" s="4">
        <v>13</v>
      </c>
      <c r="G103" s="2">
        <v>45488</v>
      </c>
      <c r="H103" s="21">
        <f t="shared" si="1"/>
        <v>45474</v>
      </c>
      <c r="I103" s="26">
        <v>45493</v>
      </c>
      <c r="J103" s="3">
        <v>22.29</v>
      </c>
      <c r="K103" s="10">
        <f>Table2[[#This Row],[Order Quantity]]*Table2[[#This Row],[Price per Unit]]</f>
        <v>22512.899999999998</v>
      </c>
    </row>
    <row r="104" spans="1:11">
      <c r="A104" s="1" t="s">
        <v>123</v>
      </c>
      <c r="B104" s="1" t="s">
        <v>25</v>
      </c>
      <c r="C104" s="1" t="s">
        <v>22</v>
      </c>
      <c r="D104" s="10">
        <v>2168</v>
      </c>
      <c r="E104" s="10">
        <v>2275</v>
      </c>
      <c r="F104" s="4">
        <v>111</v>
      </c>
      <c r="G104" s="2">
        <v>45456</v>
      </c>
      <c r="H104" s="21">
        <f t="shared" si="1"/>
        <v>45444</v>
      </c>
      <c r="I104" s="26">
        <v>45456</v>
      </c>
      <c r="J104" s="3">
        <v>20.38</v>
      </c>
      <c r="K104" s="10">
        <f>Table2[[#This Row],[Order Quantity]]*Table2[[#This Row],[Price per Unit]]</f>
        <v>44183.839999999997</v>
      </c>
    </row>
    <row r="105" spans="1:11">
      <c r="A105" s="1" t="s">
        <v>124</v>
      </c>
      <c r="B105" s="1" t="s">
        <v>18</v>
      </c>
      <c r="C105" s="1" t="s">
        <v>16</v>
      </c>
      <c r="D105" s="10">
        <v>4678</v>
      </c>
      <c r="E105" s="10">
        <v>4383</v>
      </c>
      <c r="F105" s="4">
        <v>182</v>
      </c>
      <c r="G105" s="2">
        <v>45342</v>
      </c>
      <c r="H105" s="21">
        <f t="shared" si="1"/>
        <v>45323</v>
      </c>
      <c r="I105" s="26">
        <v>45344</v>
      </c>
      <c r="J105" s="3">
        <v>7.58</v>
      </c>
      <c r="K105" s="10">
        <f>Table2[[#This Row],[Order Quantity]]*Table2[[#This Row],[Price per Unit]]</f>
        <v>35459.24</v>
      </c>
    </row>
    <row r="106" spans="1:11">
      <c r="A106" s="1" t="s">
        <v>125</v>
      </c>
      <c r="B106" s="1" t="s">
        <v>18</v>
      </c>
      <c r="C106" s="1" t="s">
        <v>13</v>
      </c>
      <c r="D106" s="10">
        <v>1216</v>
      </c>
      <c r="E106" s="10">
        <v>1132</v>
      </c>
      <c r="F106" s="4">
        <v>80</v>
      </c>
      <c r="G106" s="2">
        <v>45325</v>
      </c>
      <c r="H106" s="21">
        <f t="shared" si="1"/>
        <v>45323</v>
      </c>
      <c r="I106" s="26">
        <v>45326</v>
      </c>
      <c r="J106" s="3">
        <v>20.14</v>
      </c>
      <c r="K106" s="10">
        <f>Table2[[#This Row],[Order Quantity]]*Table2[[#This Row],[Price per Unit]]</f>
        <v>24490.240000000002</v>
      </c>
    </row>
    <row r="107" spans="1:11">
      <c r="A107" s="1" t="s">
        <v>126</v>
      </c>
      <c r="B107" s="1" t="s">
        <v>25</v>
      </c>
      <c r="C107" s="1" t="s">
        <v>16</v>
      </c>
      <c r="D107" s="10">
        <v>2074</v>
      </c>
      <c r="E107" s="10">
        <v>2075</v>
      </c>
      <c r="F107" s="4">
        <v>96</v>
      </c>
      <c r="G107" s="2">
        <v>45597</v>
      </c>
      <c r="H107" s="21">
        <f t="shared" si="1"/>
        <v>45597</v>
      </c>
      <c r="I107" s="26">
        <v>45598</v>
      </c>
      <c r="J107" s="3">
        <v>20.45</v>
      </c>
      <c r="K107" s="10">
        <f>Table2[[#This Row],[Order Quantity]]*Table2[[#This Row],[Price per Unit]]</f>
        <v>42413.299999999996</v>
      </c>
    </row>
    <row r="108" spans="1:11">
      <c r="A108" s="1" t="s">
        <v>127</v>
      </c>
      <c r="B108" s="1" t="s">
        <v>18</v>
      </c>
      <c r="C108" s="1" t="s">
        <v>20</v>
      </c>
      <c r="D108" s="10">
        <v>2484</v>
      </c>
      <c r="E108" s="10">
        <v>2441</v>
      </c>
      <c r="F108" s="4">
        <v>120</v>
      </c>
      <c r="G108" s="2">
        <v>45604</v>
      </c>
      <c r="H108" s="21">
        <f t="shared" si="1"/>
        <v>45597</v>
      </c>
      <c r="I108" s="26">
        <v>45604</v>
      </c>
      <c r="J108" s="3">
        <v>22.53</v>
      </c>
      <c r="K108" s="10">
        <f>Table2[[#This Row],[Order Quantity]]*Table2[[#This Row],[Price per Unit]]</f>
        <v>55964.520000000004</v>
      </c>
    </row>
    <row r="109" spans="1:11">
      <c r="A109" s="1" t="s">
        <v>128</v>
      </c>
      <c r="B109" s="1" t="s">
        <v>12</v>
      </c>
      <c r="C109" s="1" t="s">
        <v>16</v>
      </c>
      <c r="D109" s="10">
        <v>3314</v>
      </c>
      <c r="E109" s="10">
        <v>2996</v>
      </c>
      <c r="F109" s="4">
        <v>188</v>
      </c>
      <c r="G109" s="2">
        <v>45357</v>
      </c>
      <c r="H109" s="21">
        <f t="shared" si="1"/>
        <v>45352</v>
      </c>
      <c r="I109" s="26">
        <v>45357</v>
      </c>
      <c r="J109" s="3">
        <v>17.41</v>
      </c>
      <c r="K109" s="10">
        <f>Table2[[#This Row],[Order Quantity]]*Table2[[#This Row],[Price per Unit]]</f>
        <v>57696.74</v>
      </c>
    </row>
    <row r="110" spans="1:11">
      <c r="A110" s="1" t="s">
        <v>129</v>
      </c>
      <c r="B110" s="1" t="s">
        <v>18</v>
      </c>
      <c r="C110" s="1" t="s">
        <v>16</v>
      </c>
      <c r="D110" s="10">
        <v>2650</v>
      </c>
      <c r="E110" s="10">
        <v>2439</v>
      </c>
      <c r="F110" s="4">
        <v>26</v>
      </c>
      <c r="G110" s="2">
        <v>45389</v>
      </c>
      <c r="H110" s="21">
        <f t="shared" si="1"/>
        <v>45383</v>
      </c>
      <c r="I110" s="26">
        <v>45389</v>
      </c>
      <c r="J110" s="3">
        <v>12.01</v>
      </c>
      <c r="K110" s="10">
        <f>Table2[[#This Row],[Order Quantity]]*Table2[[#This Row],[Price per Unit]]</f>
        <v>31826.5</v>
      </c>
    </row>
    <row r="111" spans="1:11">
      <c r="A111" s="1" t="s">
        <v>130</v>
      </c>
      <c r="B111" s="1" t="s">
        <v>18</v>
      </c>
      <c r="C111" s="1" t="s">
        <v>20</v>
      </c>
      <c r="D111" s="10">
        <v>1858</v>
      </c>
      <c r="E111" s="10">
        <v>1794</v>
      </c>
      <c r="F111" s="4">
        <v>131</v>
      </c>
      <c r="G111" s="2">
        <v>45457</v>
      </c>
      <c r="H111" s="21">
        <f t="shared" si="1"/>
        <v>45444</v>
      </c>
      <c r="I111" s="26">
        <v>45457</v>
      </c>
      <c r="J111" s="3">
        <v>11.97</v>
      </c>
      <c r="K111" s="10">
        <f>Table2[[#This Row],[Order Quantity]]*Table2[[#This Row],[Price per Unit]]</f>
        <v>22240.260000000002</v>
      </c>
    </row>
    <row r="112" spans="1:11">
      <c r="A112" s="1" t="s">
        <v>131</v>
      </c>
      <c r="B112" s="1" t="s">
        <v>25</v>
      </c>
      <c r="C112" s="1" t="s">
        <v>22</v>
      </c>
      <c r="D112" s="10">
        <v>1858</v>
      </c>
      <c r="E112" s="10">
        <v>1782</v>
      </c>
      <c r="F112" s="4">
        <v>95</v>
      </c>
      <c r="G112" s="2">
        <v>45424</v>
      </c>
      <c r="H112" s="21">
        <f t="shared" si="1"/>
        <v>45413</v>
      </c>
      <c r="I112" s="26">
        <v>45426</v>
      </c>
      <c r="J112" s="3">
        <v>22.25</v>
      </c>
      <c r="K112" s="10">
        <f>Table2[[#This Row],[Order Quantity]]*Table2[[#This Row],[Price per Unit]]</f>
        <v>41340.5</v>
      </c>
    </row>
    <row r="113" spans="1:11">
      <c r="A113" s="1" t="s">
        <v>132</v>
      </c>
      <c r="B113" s="1" t="s">
        <v>15</v>
      </c>
      <c r="C113" s="1" t="s">
        <v>45</v>
      </c>
      <c r="D113" s="10">
        <v>637</v>
      </c>
      <c r="E113" s="10">
        <v>661</v>
      </c>
      <c r="F113" s="4">
        <v>29</v>
      </c>
      <c r="G113" s="2">
        <v>45360</v>
      </c>
      <c r="H113" s="21">
        <f t="shared" si="1"/>
        <v>45352</v>
      </c>
      <c r="I113" s="26">
        <v>45360</v>
      </c>
      <c r="J113" s="3">
        <v>10.16</v>
      </c>
      <c r="K113" s="10">
        <f>Table2[[#This Row],[Order Quantity]]*Table2[[#This Row],[Price per Unit]]</f>
        <v>6471.92</v>
      </c>
    </row>
    <row r="114" spans="1:11">
      <c r="A114" s="1" t="s">
        <v>133</v>
      </c>
      <c r="B114" s="1" t="s">
        <v>12</v>
      </c>
      <c r="C114" s="1" t="s">
        <v>20</v>
      </c>
      <c r="D114" s="10">
        <v>4800</v>
      </c>
      <c r="E114" s="10">
        <v>4470</v>
      </c>
      <c r="F114" s="4">
        <v>226</v>
      </c>
      <c r="G114" s="2">
        <v>45402</v>
      </c>
      <c r="H114" s="21">
        <f t="shared" si="1"/>
        <v>45383</v>
      </c>
      <c r="I114" s="26">
        <v>45402</v>
      </c>
      <c r="J114" s="3">
        <v>11.83</v>
      </c>
      <c r="K114" s="10">
        <f>Table2[[#This Row],[Order Quantity]]*Table2[[#This Row],[Price per Unit]]</f>
        <v>56784</v>
      </c>
    </row>
    <row r="115" spans="1:11">
      <c r="A115" s="1" t="s">
        <v>134</v>
      </c>
      <c r="B115" s="1" t="s">
        <v>15</v>
      </c>
      <c r="C115" s="1" t="s">
        <v>20</v>
      </c>
      <c r="D115" s="10">
        <v>3945</v>
      </c>
      <c r="E115" s="10">
        <v>3963</v>
      </c>
      <c r="F115" s="4">
        <v>89</v>
      </c>
      <c r="G115" s="2">
        <v>45572</v>
      </c>
      <c r="H115" s="21">
        <f t="shared" si="1"/>
        <v>45566</v>
      </c>
      <c r="I115" s="26">
        <v>45572</v>
      </c>
      <c r="J115" s="3">
        <v>18.93</v>
      </c>
      <c r="K115" s="10">
        <f>Table2[[#This Row],[Order Quantity]]*Table2[[#This Row],[Price per Unit]]</f>
        <v>74678.850000000006</v>
      </c>
    </row>
    <row r="116" spans="1:11">
      <c r="A116" s="1" t="s">
        <v>135</v>
      </c>
      <c r="B116" s="1" t="s">
        <v>27</v>
      </c>
      <c r="C116" s="1" t="s">
        <v>45</v>
      </c>
      <c r="D116" s="10">
        <v>2387</v>
      </c>
      <c r="E116" s="10">
        <v>2318</v>
      </c>
      <c r="F116" s="4">
        <v>131</v>
      </c>
      <c r="G116" s="2">
        <v>45413</v>
      </c>
      <c r="H116" s="21">
        <f t="shared" si="1"/>
        <v>45413</v>
      </c>
      <c r="I116" s="26">
        <v>45413</v>
      </c>
      <c r="J116" s="3">
        <v>8.4499999999999993</v>
      </c>
      <c r="K116" s="10">
        <f>Table2[[#This Row],[Order Quantity]]*Table2[[#This Row],[Price per Unit]]</f>
        <v>20170.149999999998</v>
      </c>
    </row>
    <row r="117" spans="1:11">
      <c r="A117" s="1" t="s">
        <v>136</v>
      </c>
      <c r="B117" s="1" t="s">
        <v>12</v>
      </c>
      <c r="C117" s="1" t="s">
        <v>45</v>
      </c>
      <c r="D117" s="10">
        <v>4400</v>
      </c>
      <c r="E117" s="10">
        <v>3980</v>
      </c>
      <c r="F117" s="4">
        <v>192</v>
      </c>
      <c r="G117" s="2">
        <v>45303</v>
      </c>
      <c r="H117" s="21">
        <f t="shared" si="1"/>
        <v>45292</v>
      </c>
      <c r="I117" s="26">
        <v>45303</v>
      </c>
      <c r="J117" s="3">
        <v>15.69</v>
      </c>
      <c r="K117" s="10">
        <f>Table2[[#This Row],[Order Quantity]]*Table2[[#This Row],[Price per Unit]]</f>
        <v>69036</v>
      </c>
    </row>
    <row r="118" spans="1:11">
      <c r="A118" s="1" t="s">
        <v>137</v>
      </c>
      <c r="B118" s="1" t="s">
        <v>25</v>
      </c>
      <c r="C118" s="1" t="s">
        <v>45</v>
      </c>
      <c r="D118" s="10">
        <v>3617</v>
      </c>
      <c r="E118" s="10">
        <v>3452</v>
      </c>
      <c r="F118" s="4">
        <v>156</v>
      </c>
      <c r="G118" s="2">
        <v>45364</v>
      </c>
      <c r="H118" s="21">
        <f t="shared" si="1"/>
        <v>45352</v>
      </c>
      <c r="I118" s="26">
        <v>45364</v>
      </c>
      <c r="J118" s="3">
        <v>18.809999999999999</v>
      </c>
      <c r="K118" s="10">
        <f>Table2[[#This Row],[Order Quantity]]*Table2[[#This Row],[Price per Unit]]</f>
        <v>68035.76999999999</v>
      </c>
    </row>
    <row r="119" spans="1:11">
      <c r="A119" s="1" t="s">
        <v>138</v>
      </c>
      <c r="B119" s="1" t="s">
        <v>27</v>
      </c>
      <c r="C119" s="1" t="s">
        <v>20</v>
      </c>
      <c r="D119" s="10">
        <v>2796</v>
      </c>
      <c r="E119" s="10">
        <v>2718</v>
      </c>
      <c r="F119" s="4">
        <v>158</v>
      </c>
      <c r="G119" s="2">
        <v>45398</v>
      </c>
      <c r="H119" s="21">
        <f t="shared" si="1"/>
        <v>45383</v>
      </c>
      <c r="I119" s="26">
        <v>45403</v>
      </c>
      <c r="J119" s="3">
        <v>15.23</v>
      </c>
      <c r="K119" s="10">
        <f>Table2[[#This Row],[Order Quantity]]*Table2[[#This Row],[Price per Unit]]</f>
        <v>42583.08</v>
      </c>
    </row>
    <row r="120" spans="1:11">
      <c r="A120" s="1" t="s">
        <v>139</v>
      </c>
      <c r="B120" s="1" t="s">
        <v>27</v>
      </c>
      <c r="C120" s="1" t="s">
        <v>20</v>
      </c>
      <c r="D120" s="10">
        <v>4643</v>
      </c>
      <c r="E120" s="10">
        <v>4221</v>
      </c>
      <c r="F120" s="4">
        <v>124</v>
      </c>
      <c r="G120" s="2">
        <v>45404</v>
      </c>
      <c r="H120" s="21">
        <f t="shared" si="1"/>
        <v>45383</v>
      </c>
      <c r="I120" s="26">
        <v>45404</v>
      </c>
      <c r="J120" s="3">
        <v>21.12</v>
      </c>
      <c r="K120" s="10">
        <f>Table2[[#This Row],[Order Quantity]]*Table2[[#This Row],[Price per Unit]]</f>
        <v>98060.160000000003</v>
      </c>
    </row>
    <row r="121" spans="1:11">
      <c r="A121" s="1" t="s">
        <v>140</v>
      </c>
      <c r="B121" s="1" t="s">
        <v>15</v>
      </c>
      <c r="C121" s="1" t="s">
        <v>45</v>
      </c>
      <c r="D121" s="10">
        <v>1776</v>
      </c>
      <c r="E121" s="10">
        <v>1861</v>
      </c>
      <c r="F121" s="4">
        <v>88</v>
      </c>
      <c r="G121" s="2">
        <v>45305</v>
      </c>
      <c r="H121" s="21">
        <f t="shared" si="1"/>
        <v>45292</v>
      </c>
      <c r="I121" s="26">
        <v>45305</v>
      </c>
      <c r="J121" s="3">
        <v>23.48</v>
      </c>
      <c r="K121" s="10">
        <f>Table2[[#This Row],[Order Quantity]]*Table2[[#This Row],[Price per Unit]]</f>
        <v>41700.480000000003</v>
      </c>
    </row>
    <row r="122" spans="1:11">
      <c r="A122" s="1" t="s">
        <v>141</v>
      </c>
      <c r="B122" s="1" t="s">
        <v>12</v>
      </c>
      <c r="C122" s="1" t="s">
        <v>13</v>
      </c>
      <c r="D122" s="10">
        <v>4623</v>
      </c>
      <c r="E122" s="10">
        <v>4416</v>
      </c>
      <c r="F122" s="4">
        <v>187</v>
      </c>
      <c r="G122" s="2">
        <v>45305</v>
      </c>
      <c r="H122" s="21">
        <f t="shared" si="1"/>
        <v>45292</v>
      </c>
      <c r="I122" s="26">
        <v>45305</v>
      </c>
      <c r="J122" s="3">
        <v>19.95</v>
      </c>
      <c r="K122" s="10">
        <f>Table2[[#This Row],[Order Quantity]]*Table2[[#This Row],[Price per Unit]]</f>
        <v>92228.849999999991</v>
      </c>
    </row>
    <row r="123" spans="1:11">
      <c r="A123" s="1" t="s">
        <v>142</v>
      </c>
      <c r="B123" s="1" t="s">
        <v>15</v>
      </c>
      <c r="C123" s="1" t="s">
        <v>13</v>
      </c>
      <c r="D123" s="10">
        <v>2146</v>
      </c>
      <c r="E123" s="10">
        <v>2203</v>
      </c>
      <c r="F123" s="4">
        <v>137</v>
      </c>
      <c r="G123" s="2">
        <v>45565</v>
      </c>
      <c r="H123" s="21">
        <f t="shared" si="1"/>
        <v>45536</v>
      </c>
      <c r="I123" s="26">
        <v>45565</v>
      </c>
      <c r="J123" s="3">
        <v>5.61</v>
      </c>
      <c r="K123" s="10">
        <f>Table2[[#This Row],[Order Quantity]]*Table2[[#This Row],[Price per Unit]]</f>
        <v>12039.060000000001</v>
      </c>
    </row>
    <row r="124" spans="1:11">
      <c r="A124" s="1" t="s">
        <v>143</v>
      </c>
      <c r="B124" s="1" t="s">
        <v>15</v>
      </c>
      <c r="C124" s="1" t="s">
        <v>13</v>
      </c>
      <c r="D124" s="10">
        <v>2406</v>
      </c>
      <c r="E124" s="10">
        <v>2252</v>
      </c>
      <c r="F124" s="4">
        <v>64</v>
      </c>
      <c r="G124" s="2">
        <v>45493</v>
      </c>
      <c r="H124" s="21">
        <f t="shared" si="1"/>
        <v>45474</v>
      </c>
      <c r="I124" s="26">
        <v>45498</v>
      </c>
      <c r="J124" s="3">
        <v>12.55</v>
      </c>
      <c r="K124" s="10">
        <f>Table2[[#This Row],[Order Quantity]]*Table2[[#This Row],[Price per Unit]]</f>
        <v>30195.300000000003</v>
      </c>
    </row>
    <row r="125" spans="1:11">
      <c r="A125" s="1" t="s">
        <v>144</v>
      </c>
      <c r="B125" s="1" t="s">
        <v>18</v>
      </c>
      <c r="C125" s="1" t="s">
        <v>13</v>
      </c>
      <c r="D125" s="10">
        <v>2476</v>
      </c>
      <c r="E125" s="10">
        <v>2540</v>
      </c>
      <c r="F125" s="4">
        <v>41</v>
      </c>
      <c r="G125" s="2">
        <v>45316</v>
      </c>
      <c r="H125" s="21">
        <f t="shared" si="1"/>
        <v>45292</v>
      </c>
      <c r="I125" s="26">
        <v>45316</v>
      </c>
      <c r="J125" s="3">
        <v>15.71</v>
      </c>
      <c r="K125" s="10">
        <f>Table2[[#This Row],[Order Quantity]]*Table2[[#This Row],[Price per Unit]]</f>
        <v>38897.96</v>
      </c>
    </row>
    <row r="126" spans="1:11">
      <c r="A126" s="1" t="s">
        <v>145</v>
      </c>
      <c r="B126" s="1" t="s">
        <v>25</v>
      </c>
      <c r="C126" s="1" t="s">
        <v>45</v>
      </c>
      <c r="D126" s="10">
        <v>4096</v>
      </c>
      <c r="E126" s="10">
        <v>4051</v>
      </c>
      <c r="F126" s="4">
        <v>233</v>
      </c>
      <c r="G126" s="2">
        <v>45400</v>
      </c>
      <c r="H126" s="21">
        <f t="shared" si="1"/>
        <v>45383</v>
      </c>
      <c r="I126" s="26">
        <v>45400</v>
      </c>
      <c r="J126" s="3">
        <v>20.78</v>
      </c>
      <c r="K126" s="10">
        <f>Table2[[#This Row],[Order Quantity]]*Table2[[#This Row],[Price per Unit]]</f>
        <v>85114.880000000005</v>
      </c>
    </row>
    <row r="127" spans="1:11">
      <c r="A127" s="1" t="s">
        <v>146</v>
      </c>
      <c r="B127" s="1" t="s">
        <v>12</v>
      </c>
      <c r="C127" s="1" t="s">
        <v>20</v>
      </c>
      <c r="D127" s="10">
        <v>2658</v>
      </c>
      <c r="E127" s="10">
        <v>2625</v>
      </c>
      <c r="F127" s="4">
        <v>161</v>
      </c>
      <c r="G127" s="2">
        <v>45527</v>
      </c>
      <c r="H127" s="21">
        <f t="shared" si="1"/>
        <v>45505</v>
      </c>
      <c r="I127" s="26">
        <v>45527</v>
      </c>
      <c r="J127" s="3">
        <v>16.149999999999999</v>
      </c>
      <c r="K127" s="10">
        <f>Table2[[#This Row],[Order Quantity]]*Table2[[#This Row],[Price per Unit]]</f>
        <v>42926.7</v>
      </c>
    </row>
    <row r="128" spans="1:11">
      <c r="A128" s="1" t="s">
        <v>147</v>
      </c>
      <c r="B128" s="1" t="s">
        <v>18</v>
      </c>
      <c r="C128" s="1" t="s">
        <v>16</v>
      </c>
      <c r="D128" s="10">
        <v>2972</v>
      </c>
      <c r="E128" s="10">
        <v>2825</v>
      </c>
      <c r="F128" s="4">
        <v>206</v>
      </c>
      <c r="G128" s="2">
        <v>45606</v>
      </c>
      <c r="H128" s="21">
        <f t="shared" si="1"/>
        <v>45597</v>
      </c>
      <c r="I128" s="26">
        <v>45608</v>
      </c>
      <c r="J128" s="3">
        <v>17.149999999999999</v>
      </c>
      <c r="K128" s="10">
        <f>Table2[[#This Row],[Order Quantity]]*Table2[[#This Row],[Price per Unit]]</f>
        <v>50969.799999999996</v>
      </c>
    </row>
    <row r="129" spans="1:11">
      <c r="A129" s="1" t="s">
        <v>148</v>
      </c>
      <c r="B129" s="1" t="s">
        <v>27</v>
      </c>
      <c r="C129" s="1" t="s">
        <v>16</v>
      </c>
      <c r="D129" s="10">
        <v>4312</v>
      </c>
      <c r="E129" s="10">
        <v>4484</v>
      </c>
      <c r="F129" s="4">
        <v>47</v>
      </c>
      <c r="G129" s="2">
        <v>45361</v>
      </c>
      <c r="H129" s="21">
        <f t="shared" si="1"/>
        <v>45352</v>
      </c>
      <c r="I129" s="26">
        <v>45366</v>
      </c>
      <c r="J129" s="3">
        <v>9.51</v>
      </c>
      <c r="K129" s="10">
        <f>Table2[[#This Row],[Order Quantity]]*Table2[[#This Row],[Price per Unit]]</f>
        <v>41007.120000000003</v>
      </c>
    </row>
    <row r="130" spans="1:11">
      <c r="A130" s="1" t="s">
        <v>149</v>
      </c>
      <c r="B130" s="1" t="s">
        <v>27</v>
      </c>
      <c r="C130" s="1" t="s">
        <v>22</v>
      </c>
      <c r="D130" s="10">
        <v>3063</v>
      </c>
      <c r="E130" s="10">
        <v>3147</v>
      </c>
      <c r="F130" s="4">
        <v>50</v>
      </c>
      <c r="G130" s="2">
        <v>45443</v>
      </c>
      <c r="H130" s="21">
        <f t="shared" ref="H130:H193" si="2">DATE(YEAR(I130), MONTH(I130), 1)</f>
        <v>45444</v>
      </c>
      <c r="I130" s="26">
        <v>45448</v>
      </c>
      <c r="J130" s="3">
        <v>21.12</v>
      </c>
      <c r="K130" s="10">
        <f>Table2[[#This Row],[Order Quantity]]*Table2[[#This Row],[Price per Unit]]</f>
        <v>64690.560000000005</v>
      </c>
    </row>
    <row r="131" spans="1:11">
      <c r="A131" s="1" t="s">
        <v>150</v>
      </c>
      <c r="B131" s="1" t="s">
        <v>12</v>
      </c>
      <c r="C131" s="1" t="s">
        <v>45</v>
      </c>
      <c r="D131" s="10">
        <v>1660</v>
      </c>
      <c r="E131" s="10">
        <v>1513</v>
      </c>
      <c r="F131" s="4">
        <v>70</v>
      </c>
      <c r="G131" s="2">
        <v>45327</v>
      </c>
      <c r="H131" s="21">
        <f t="shared" si="2"/>
        <v>45323</v>
      </c>
      <c r="I131" s="26">
        <v>45334</v>
      </c>
      <c r="J131" s="3">
        <v>13.21</v>
      </c>
      <c r="K131" s="10">
        <f>Table2[[#This Row],[Order Quantity]]*Table2[[#This Row],[Price per Unit]]</f>
        <v>21928.600000000002</v>
      </c>
    </row>
    <row r="132" spans="1:11">
      <c r="A132" s="1" t="s">
        <v>151</v>
      </c>
      <c r="B132" s="1" t="s">
        <v>18</v>
      </c>
      <c r="C132" s="1" t="s">
        <v>45</v>
      </c>
      <c r="D132" s="10">
        <v>505</v>
      </c>
      <c r="E132" s="10">
        <v>484</v>
      </c>
      <c r="F132" s="4">
        <v>37</v>
      </c>
      <c r="G132" s="2">
        <v>45425</v>
      </c>
      <c r="H132" s="21">
        <f t="shared" si="2"/>
        <v>45413</v>
      </c>
      <c r="I132" s="26">
        <v>45428</v>
      </c>
      <c r="J132" s="3">
        <v>22.31</v>
      </c>
      <c r="K132" s="10">
        <f>Table2[[#This Row],[Order Quantity]]*Table2[[#This Row],[Price per Unit]]</f>
        <v>11266.55</v>
      </c>
    </row>
    <row r="133" spans="1:11">
      <c r="A133" s="1" t="s">
        <v>152</v>
      </c>
      <c r="B133" s="1" t="s">
        <v>18</v>
      </c>
      <c r="C133" s="1" t="s">
        <v>20</v>
      </c>
      <c r="D133" s="10">
        <v>3428</v>
      </c>
      <c r="E133" s="10">
        <v>3337</v>
      </c>
      <c r="F133" s="4">
        <v>202</v>
      </c>
      <c r="G133" s="2">
        <v>45485</v>
      </c>
      <c r="H133" s="21">
        <f t="shared" si="2"/>
        <v>45474</v>
      </c>
      <c r="I133" s="26">
        <v>45490</v>
      </c>
      <c r="J133" s="3">
        <v>21.42</v>
      </c>
      <c r="K133" s="10">
        <f>Table2[[#This Row],[Order Quantity]]*Table2[[#This Row],[Price per Unit]]</f>
        <v>73427.760000000009</v>
      </c>
    </row>
    <row r="134" spans="1:11">
      <c r="A134" s="1" t="s">
        <v>153</v>
      </c>
      <c r="B134" s="1" t="s">
        <v>15</v>
      </c>
      <c r="C134" s="1" t="s">
        <v>13</v>
      </c>
      <c r="D134" s="10">
        <v>3262</v>
      </c>
      <c r="E134" s="10">
        <v>3215</v>
      </c>
      <c r="F134" s="4">
        <v>95</v>
      </c>
      <c r="G134" s="2">
        <v>45617</v>
      </c>
      <c r="H134" s="21">
        <f t="shared" si="2"/>
        <v>45597</v>
      </c>
      <c r="I134" s="26">
        <v>45617</v>
      </c>
      <c r="J134" s="3">
        <v>20.39</v>
      </c>
      <c r="K134" s="10">
        <f>Table2[[#This Row],[Order Quantity]]*Table2[[#This Row],[Price per Unit]]</f>
        <v>66512.180000000008</v>
      </c>
    </row>
    <row r="135" spans="1:11">
      <c r="A135" s="1" t="s">
        <v>154</v>
      </c>
      <c r="B135" s="1" t="s">
        <v>18</v>
      </c>
      <c r="C135" s="1" t="s">
        <v>20</v>
      </c>
      <c r="D135" s="10">
        <v>1641</v>
      </c>
      <c r="E135" s="10">
        <v>1651</v>
      </c>
      <c r="F135" s="4">
        <v>39</v>
      </c>
      <c r="G135" s="2">
        <v>45431</v>
      </c>
      <c r="H135" s="21">
        <f t="shared" si="2"/>
        <v>45413</v>
      </c>
      <c r="I135" s="26">
        <v>45436</v>
      </c>
      <c r="J135" s="3">
        <v>19.72</v>
      </c>
      <c r="K135" s="10">
        <f>Table2[[#This Row],[Order Quantity]]*Table2[[#This Row],[Price per Unit]]</f>
        <v>32360.519999999997</v>
      </c>
    </row>
    <row r="136" spans="1:11">
      <c r="A136" s="1" t="s">
        <v>155</v>
      </c>
      <c r="B136" s="1" t="s">
        <v>15</v>
      </c>
      <c r="C136" s="1" t="s">
        <v>16</v>
      </c>
      <c r="D136" s="10">
        <v>2548</v>
      </c>
      <c r="E136" s="10">
        <v>2526</v>
      </c>
      <c r="F136" s="4">
        <v>76</v>
      </c>
      <c r="G136" s="2">
        <v>45430</v>
      </c>
      <c r="H136" s="21">
        <f t="shared" si="2"/>
        <v>45413</v>
      </c>
      <c r="I136" s="26">
        <v>45435</v>
      </c>
      <c r="J136" s="3">
        <v>16.62</v>
      </c>
      <c r="K136" s="10">
        <f>Table2[[#This Row],[Order Quantity]]*Table2[[#This Row],[Price per Unit]]</f>
        <v>42347.76</v>
      </c>
    </row>
    <row r="137" spans="1:11">
      <c r="A137" s="1" t="s">
        <v>156</v>
      </c>
      <c r="B137" s="1" t="s">
        <v>12</v>
      </c>
      <c r="C137" s="1" t="s">
        <v>20</v>
      </c>
      <c r="D137" s="10">
        <v>2526</v>
      </c>
      <c r="E137" s="10">
        <v>2498</v>
      </c>
      <c r="F137" s="4">
        <v>89</v>
      </c>
      <c r="G137" s="2">
        <v>45552</v>
      </c>
      <c r="H137" s="21">
        <f t="shared" si="2"/>
        <v>45536</v>
      </c>
      <c r="I137" s="26">
        <v>45557</v>
      </c>
      <c r="J137" s="3">
        <v>14.09</v>
      </c>
      <c r="K137" s="10">
        <f>Table2[[#This Row],[Order Quantity]]*Table2[[#This Row],[Price per Unit]]</f>
        <v>35591.339999999997</v>
      </c>
    </row>
    <row r="138" spans="1:11">
      <c r="A138" s="1" t="s">
        <v>157</v>
      </c>
      <c r="B138" s="1" t="s">
        <v>25</v>
      </c>
      <c r="C138" s="1" t="s">
        <v>45</v>
      </c>
      <c r="D138" s="10">
        <v>2173</v>
      </c>
      <c r="E138" s="10">
        <v>2278</v>
      </c>
      <c r="F138" s="4">
        <v>74</v>
      </c>
      <c r="G138" s="2">
        <v>45612</v>
      </c>
      <c r="H138" s="21">
        <f t="shared" si="2"/>
        <v>45597</v>
      </c>
      <c r="I138" s="26">
        <v>45617</v>
      </c>
      <c r="J138" s="3">
        <v>21.2</v>
      </c>
      <c r="K138" s="10">
        <f>Table2[[#This Row],[Order Quantity]]*Table2[[#This Row],[Price per Unit]]</f>
        <v>46067.6</v>
      </c>
    </row>
    <row r="139" spans="1:11">
      <c r="A139" s="1" t="s">
        <v>158</v>
      </c>
      <c r="B139" s="1" t="s">
        <v>15</v>
      </c>
      <c r="C139" s="1" t="s">
        <v>13</v>
      </c>
      <c r="D139" s="10">
        <v>2876</v>
      </c>
      <c r="E139" s="10">
        <v>2916</v>
      </c>
      <c r="F139" s="4">
        <v>150</v>
      </c>
      <c r="G139" s="2">
        <v>45385</v>
      </c>
      <c r="H139" s="21">
        <f t="shared" si="2"/>
        <v>45383</v>
      </c>
      <c r="I139" s="26">
        <v>45390</v>
      </c>
      <c r="J139" s="3">
        <v>14.43</v>
      </c>
      <c r="K139" s="10">
        <f>Table2[[#This Row],[Order Quantity]]*Table2[[#This Row],[Price per Unit]]</f>
        <v>41500.68</v>
      </c>
    </row>
    <row r="140" spans="1:11">
      <c r="A140" s="1" t="s">
        <v>159</v>
      </c>
      <c r="B140" s="1" t="s">
        <v>12</v>
      </c>
      <c r="C140" s="1" t="s">
        <v>45</v>
      </c>
      <c r="D140" s="10">
        <v>2104</v>
      </c>
      <c r="E140" s="10">
        <v>2155</v>
      </c>
      <c r="F140" s="4">
        <v>167</v>
      </c>
      <c r="G140" s="2">
        <v>45428</v>
      </c>
      <c r="H140" s="21">
        <f t="shared" si="2"/>
        <v>45413</v>
      </c>
      <c r="I140" s="26">
        <v>45428</v>
      </c>
      <c r="J140" s="3">
        <v>7.49</v>
      </c>
      <c r="K140" s="10">
        <f>Table2[[#This Row],[Order Quantity]]*Table2[[#This Row],[Price per Unit]]</f>
        <v>15758.960000000001</v>
      </c>
    </row>
    <row r="141" spans="1:11">
      <c r="A141" s="1" t="s">
        <v>160</v>
      </c>
      <c r="B141" s="1" t="s">
        <v>18</v>
      </c>
      <c r="C141" s="1" t="s">
        <v>16</v>
      </c>
      <c r="D141" s="10">
        <v>3135</v>
      </c>
      <c r="E141" s="10">
        <v>2999</v>
      </c>
      <c r="F141" s="4">
        <v>224</v>
      </c>
      <c r="G141" s="2">
        <v>45351</v>
      </c>
      <c r="H141" s="21">
        <f t="shared" si="2"/>
        <v>45352</v>
      </c>
      <c r="I141" s="26">
        <v>45358</v>
      </c>
      <c r="J141" s="3">
        <v>19.43</v>
      </c>
      <c r="K141" s="10">
        <f>Table2[[#This Row],[Order Quantity]]*Table2[[#This Row],[Price per Unit]]</f>
        <v>60913.049999999996</v>
      </c>
    </row>
    <row r="142" spans="1:11">
      <c r="A142" s="1" t="s">
        <v>161</v>
      </c>
      <c r="B142" s="1" t="s">
        <v>18</v>
      </c>
      <c r="C142" s="1" t="s">
        <v>45</v>
      </c>
      <c r="D142" s="10">
        <v>4350</v>
      </c>
      <c r="E142" s="10">
        <v>4433</v>
      </c>
      <c r="F142" s="4">
        <v>106</v>
      </c>
      <c r="G142" s="2">
        <v>45504</v>
      </c>
      <c r="H142" s="21">
        <f t="shared" si="2"/>
        <v>45505</v>
      </c>
      <c r="I142" s="26">
        <v>45506</v>
      </c>
      <c r="J142" s="3">
        <v>8.27</v>
      </c>
      <c r="K142" s="10">
        <f>Table2[[#This Row],[Order Quantity]]*Table2[[#This Row],[Price per Unit]]</f>
        <v>35974.5</v>
      </c>
    </row>
    <row r="143" spans="1:11">
      <c r="A143" s="1" t="s">
        <v>162</v>
      </c>
      <c r="B143" s="1" t="s">
        <v>12</v>
      </c>
      <c r="C143" s="1" t="s">
        <v>20</v>
      </c>
      <c r="D143" s="10">
        <v>3398</v>
      </c>
      <c r="E143" s="10">
        <v>3397</v>
      </c>
      <c r="F143" s="4">
        <v>158</v>
      </c>
      <c r="G143" s="2">
        <v>45528</v>
      </c>
      <c r="H143" s="21">
        <f t="shared" si="2"/>
        <v>45505</v>
      </c>
      <c r="I143" s="26">
        <v>45528</v>
      </c>
      <c r="J143" s="3">
        <v>12.18</v>
      </c>
      <c r="K143" s="10">
        <f>Table2[[#This Row],[Order Quantity]]*Table2[[#This Row],[Price per Unit]]</f>
        <v>41387.64</v>
      </c>
    </row>
    <row r="144" spans="1:11">
      <c r="A144" s="1" t="s">
        <v>163</v>
      </c>
      <c r="B144" s="1" t="s">
        <v>15</v>
      </c>
      <c r="C144" s="1" t="s">
        <v>22</v>
      </c>
      <c r="D144" s="10">
        <v>2636</v>
      </c>
      <c r="E144" s="10">
        <v>2642</v>
      </c>
      <c r="F144" s="4">
        <v>110</v>
      </c>
      <c r="G144" s="2">
        <v>45579</v>
      </c>
      <c r="H144" s="21">
        <f t="shared" si="2"/>
        <v>45566</v>
      </c>
      <c r="I144" s="26">
        <v>45579</v>
      </c>
      <c r="J144" s="3">
        <v>19.28</v>
      </c>
      <c r="K144" s="10">
        <f>Table2[[#This Row],[Order Quantity]]*Table2[[#This Row],[Price per Unit]]</f>
        <v>50822.080000000002</v>
      </c>
    </row>
    <row r="145" spans="1:11">
      <c r="A145" s="1" t="s">
        <v>164</v>
      </c>
      <c r="B145" s="1" t="s">
        <v>12</v>
      </c>
      <c r="C145" s="1" t="s">
        <v>45</v>
      </c>
      <c r="D145" s="10">
        <v>2690</v>
      </c>
      <c r="E145" s="10">
        <v>2654</v>
      </c>
      <c r="F145" s="4">
        <v>92</v>
      </c>
      <c r="G145" s="2">
        <v>45600</v>
      </c>
      <c r="H145" s="21">
        <f t="shared" si="2"/>
        <v>45597</v>
      </c>
      <c r="I145" s="26">
        <v>45607</v>
      </c>
      <c r="J145" s="3">
        <v>12.83</v>
      </c>
      <c r="K145" s="10">
        <f>Table2[[#This Row],[Order Quantity]]*Table2[[#This Row],[Price per Unit]]</f>
        <v>34512.699999999997</v>
      </c>
    </row>
    <row r="146" spans="1:11">
      <c r="A146" s="1" t="s">
        <v>165</v>
      </c>
      <c r="B146" s="1" t="s">
        <v>18</v>
      </c>
      <c r="C146" s="1" t="s">
        <v>45</v>
      </c>
      <c r="D146" s="10">
        <v>2651</v>
      </c>
      <c r="E146" s="10">
        <v>2634</v>
      </c>
      <c r="F146" s="4">
        <v>47</v>
      </c>
      <c r="G146" s="2">
        <v>45470</v>
      </c>
      <c r="H146" s="21">
        <f t="shared" si="2"/>
        <v>45474</v>
      </c>
      <c r="I146" s="26">
        <v>45477</v>
      </c>
      <c r="J146" s="3">
        <v>23.8</v>
      </c>
      <c r="K146" s="10">
        <f>Table2[[#This Row],[Order Quantity]]*Table2[[#This Row],[Price per Unit]]</f>
        <v>63093.8</v>
      </c>
    </row>
    <row r="147" spans="1:11">
      <c r="A147" s="1" t="s">
        <v>166</v>
      </c>
      <c r="B147" s="1" t="s">
        <v>12</v>
      </c>
      <c r="C147" s="1" t="s">
        <v>13</v>
      </c>
      <c r="D147" s="10">
        <v>2535</v>
      </c>
      <c r="E147" s="10">
        <v>2563</v>
      </c>
      <c r="F147" s="4">
        <v>128</v>
      </c>
      <c r="G147" s="2">
        <v>45388</v>
      </c>
      <c r="H147" s="21">
        <f t="shared" si="2"/>
        <v>45383</v>
      </c>
      <c r="I147" s="26">
        <v>45390</v>
      </c>
      <c r="J147" s="3">
        <v>24.95</v>
      </c>
      <c r="K147" s="10">
        <f>Table2[[#This Row],[Order Quantity]]*Table2[[#This Row],[Price per Unit]]</f>
        <v>63248.25</v>
      </c>
    </row>
    <row r="148" spans="1:11">
      <c r="A148" s="1" t="s">
        <v>167</v>
      </c>
      <c r="B148" s="1" t="s">
        <v>25</v>
      </c>
      <c r="C148" s="1" t="s">
        <v>20</v>
      </c>
      <c r="D148" s="10">
        <v>1450</v>
      </c>
      <c r="E148" s="10">
        <v>1336</v>
      </c>
      <c r="F148" s="4">
        <v>32</v>
      </c>
      <c r="G148" s="2">
        <v>45296</v>
      </c>
      <c r="H148" s="21">
        <f t="shared" si="2"/>
        <v>45292</v>
      </c>
      <c r="I148" s="26">
        <v>45296</v>
      </c>
      <c r="J148" s="3">
        <v>19.28</v>
      </c>
      <c r="K148" s="10">
        <f>Table2[[#This Row],[Order Quantity]]*Table2[[#This Row],[Price per Unit]]</f>
        <v>27956</v>
      </c>
    </row>
    <row r="149" spans="1:11">
      <c r="A149" s="1" t="s">
        <v>168</v>
      </c>
      <c r="B149" s="1" t="s">
        <v>12</v>
      </c>
      <c r="C149" s="1" t="s">
        <v>20</v>
      </c>
      <c r="D149" s="10">
        <v>2365</v>
      </c>
      <c r="E149" s="10">
        <v>2249</v>
      </c>
      <c r="F149" s="4">
        <v>151</v>
      </c>
      <c r="G149" s="2">
        <v>45519</v>
      </c>
      <c r="H149" s="21">
        <f t="shared" si="2"/>
        <v>45505</v>
      </c>
      <c r="I149" s="26">
        <v>45521</v>
      </c>
      <c r="J149" s="3">
        <v>7.21</v>
      </c>
      <c r="K149" s="10">
        <f>Table2[[#This Row],[Order Quantity]]*Table2[[#This Row],[Price per Unit]]</f>
        <v>17051.650000000001</v>
      </c>
    </row>
    <row r="150" spans="1:11">
      <c r="A150" s="1" t="s">
        <v>169</v>
      </c>
      <c r="B150" s="1" t="s">
        <v>27</v>
      </c>
      <c r="C150" s="1" t="s">
        <v>22</v>
      </c>
      <c r="D150" s="10">
        <v>3728</v>
      </c>
      <c r="E150" s="10">
        <v>3657</v>
      </c>
      <c r="F150" s="4">
        <v>161</v>
      </c>
      <c r="G150" s="2">
        <v>45464</v>
      </c>
      <c r="H150" s="21">
        <f t="shared" si="2"/>
        <v>45444</v>
      </c>
      <c r="I150" s="26">
        <v>45464</v>
      </c>
      <c r="J150" s="3">
        <v>13.18</v>
      </c>
      <c r="K150" s="10">
        <f>Table2[[#This Row],[Order Quantity]]*Table2[[#This Row],[Price per Unit]]</f>
        <v>49135.040000000001</v>
      </c>
    </row>
    <row r="151" spans="1:11">
      <c r="A151" s="1" t="s">
        <v>170</v>
      </c>
      <c r="B151" s="1" t="s">
        <v>27</v>
      </c>
      <c r="C151" s="1" t="s">
        <v>20</v>
      </c>
      <c r="D151" s="10">
        <v>594</v>
      </c>
      <c r="E151" s="10">
        <v>587</v>
      </c>
      <c r="F151" s="4">
        <v>29</v>
      </c>
      <c r="G151" s="2">
        <v>45574</v>
      </c>
      <c r="H151" s="21">
        <f t="shared" si="2"/>
        <v>45566</v>
      </c>
      <c r="I151" s="26">
        <v>45576</v>
      </c>
      <c r="J151" s="3">
        <v>19.32</v>
      </c>
      <c r="K151" s="10">
        <f>Table2[[#This Row],[Order Quantity]]*Table2[[#This Row],[Price per Unit]]</f>
        <v>11476.08</v>
      </c>
    </row>
    <row r="152" spans="1:11">
      <c r="A152" s="1" t="s">
        <v>171</v>
      </c>
      <c r="B152" s="1" t="s">
        <v>15</v>
      </c>
      <c r="C152" s="1" t="s">
        <v>20</v>
      </c>
      <c r="D152" s="10">
        <v>4606</v>
      </c>
      <c r="E152" s="10">
        <v>4808</v>
      </c>
      <c r="F152" s="4">
        <v>163</v>
      </c>
      <c r="G152" s="2">
        <v>45314</v>
      </c>
      <c r="H152" s="21">
        <f t="shared" si="2"/>
        <v>45292</v>
      </c>
      <c r="I152" s="26">
        <v>45319</v>
      </c>
      <c r="J152" s="3">
        <v>9.5500000000000007</v>
      </c>
      <c r="K152" s="10">
        <f>Table2[[#This Row],[Order Quantity]]*Table2[[#This Row],[Price per Unit]]</f>
        <v>43987.3</v>
      </c>
    </row>
    <row r="153" spans="1:11">
      <c r="A153" s="1" t="s">
        <v>172</v>
      </c>
      <c r="B153" s="1" t="s">
        <v>18</v>
      </c>
      <c r="C153" s="1" t="s">
        <v>13</v>
      </c>
      <c r="D153" s="10">
        <v>845</v>
      </c>
      <c r="E153" s="10">
        <v>880</v>
      </c>
      <c r="F153" s="4">
        <v>18</v>
      </c>
      <c r="G153" s="2">
        <v>45501</v>
      </c>
      <c r="H153" s="21">
        <f t="shared" si="2"/>
        <v>45474</v>
      </c>
      <c r="I153" s="26">
        <v>45501</v>
      </c>
      <c r="J153" s="3">
        <v>16.72</v>
      </c>
      <c r="K153" s="10">
        <f>Table2[[#This Row],[Order Quantity]]*Table2[[#This Row],[Price per Unit]]</f>
        <v>14128.4</v>
      </c>
    </row>
    <row r="154" spans="1:11">
      <c r="A154" s="1" t="s">
        <v>173</v>
      </c>
      <c r="B154" s="1" t="s">
        <v>18</v>
      </c>
      <c r="C154" s="1" t="s">
        <v>20</v>
      </c>
      <c r="D154" s="10">
        <v>2139</v>
      </c>
      <c r="E154" s="10">
        <v>2204</v>
      </c>
      <c r="F154" s="4">
        <v>165</v>
      </c>
      <c r="G154" s="2">
        <v>45615</v>
      </c>
      <c r="H154" s="21">
        <f t="shared" si="2"/>
        <v>45597</v>
      </c>
      <c r="I154" s="26">
        <v>45617</v>
      </c>
      <c r="J154" s="3">
        <v>16.3</v>
      </c>
      <c r="K154" s="10">
        <f>Table2[[#This Row],[Order Quantity]]*Table2[[#This Row],[Price per Unit]]</f>
        <v>34865.700000000004</v>
      </c>
    </row>
    <row r="155" spans="1:11">
      <c r="A155" s="1" t="s">
        <v>174</v>
      </c>
      <c r="B155" s="1" t="s">
        <v>27</v>
      </c>
      <c r="C155" s="1" t="s">
        <v>45</v>
      </c>
      <c r="D155" s="10">
        <v>3435</v>
      </c>
      <c r="E155" s="10">
        <v>3103</v>
      </c>
      <c r="F155" s="4">
        <v>172</v>
      </c>
      <c r="G155" s="2">
        <v>45578</v>
      </c>
      <c r="H155" s="21">
        <f t="shared" si="2"/>
        <v>45566</v>
      </c>
      <c r="I155" s="26">
        <v>45578</v>
      </c>
      <c r="J155" s="3">
        <v>20.420000000000002</v>
      </c>
      <c r="K155" s="10">
        <f>Table2[[#This Row],[Order Quantity]]*Table2[[#This Row],[Price per Unit]]</f>
        <v>70142.700000000012</v>
      </c>
    </row>
    <row r="156" spans="1:11">
      <c r="A156" s="1" t="s">
        <v>175</v>
      </c>
      <c r="B156" s="1" t="s">
        <v>27</v>
      </c>
      <c r="C156" s="1" t="s">
        <v>45</v>
      </c>
      <c r="D156" s="10">
        <v>4646</v>
      </c>
      <c r="E156" s="10">
        <v>4694</v>
      </c>
      <c r="F156" s="4">
        <v>353</v>
      </c>
      <c r="G156" s="2">
        <v>45548</v>
      </c>
      <c r="H156" s="21">
        <f t="shared" si="2"/>
        <v>45536</v>
      </c>
      <c r="I156" s="26">
        <v>45551</v>
      </c>
      <c r="J156" s="3">
        <v>23.51</v>
      </c>
      <c r="K156" s="10">
        <f>Table2[[#This Row],[Order Quantity]]*Table2[[#This Row],[Price per Unit]]</f>
        <v>109227.46</v>
      </c>
    </row>
    <row r="157" spans="1:11">
      <c r="A157" s="1" t="s">
        <v>176</v>
      </c>
      <c r="B157" s="1" t="s">
        <v>18</v>
      </c>
      <c r="C157" s="1" t="s">
        <v>13</v>
      </c>
      <c r="D157" s="10">
        <v>3976</v>
      </c>
      <c r="E157" s="10">
        <v>3677</v>
      </c>
      <c r="F157" s="4">
        <v>84</v>
      </c>
      <c r="G157" s="2">
        <v>45292</v>
      </c>
      <c r="H157" s="21">
        <f t="shared" si="2"/>
        <v>45292</v>
      </c>
      <c r="I157" s="26">
        <v>45297</v>
      </c>
      <c r="J157" s="3">
        <v>21.75</v>
      </c>
      <c r="K157" s="10">
        <f>Table2[[#This Row],[Order Quantity]]*Table2[[#This Row],[Price per Unit]]</f>
        <v>86478</v>
      </c>
    </row>
    <row r="158" spans="1:11">
      <c r="A158" s="1" t="s">
        <v>177</v>
      </c>
      <c r="B158" s="1" t="s">
        <v>15</v>
      </c>
      <c r="C158" s="1" t="s">
        <v>20</v>
      </c>
      <c r="D158" s="10">
        <v>4521</v>
      </c>
      <c r="E158" s="10">
        <v>4420</v>
      </c>
      <c r="F158" s="4">
        <v>227</v>
      </c>
      <c r="G158" s="2">
        <v>45600</v>
      </c>
      <c r="H158" s="21">
        <f t="shared" si="2"/>
        <v>45597</v>
      </c>
      <c r="I158" s="26">
        <v>45600</v>
      </c>
      <c r="J158" s="3">
        <v>12.98</v>
      </c>
      <c r="K158" s="10">
        <f>Table2[[#This Row],[Order Quantity]]*Table2[[#This Row],[Price per Unit]]</f>
        <v>58682.58</v>
      </c>
    </row>
    <row r="159" spans="1:11">
      <c r="A159" s="1" t="s">
        <v>178</v>
      </c>
      <c r="B159" s="1" t="s">
        <v>18</v>
      </c>
      <c r="C159" s="1" t="s">
        <v>16</v>
      </c>
      <c r="D159" s="10">
        <v>701</v>
      </c>
      <c r="E159" s="10">
        <v>715</v>
      </c>
      <c r="F159" s="4">
        <v>7</v>
      </c>
      <c r="G159" s="2">
        <v>45354</v>
      </c>
      <c r="H159" s="21">
        <f t="shared" si="2"/>
        <v>45352</v>
      </c>
      <c r="I159" s="26">
        <v>45355</v>
      </c>
      <c r="J159" s="3">
        <v>11.67</v>
      </c>
      <c r="K159" s="10">
        <f>Table2[[#This Row],[Order Quantity]]*Table2[[#This Row],[Price per Unit]]</f>
        <v>8180.67</v>
      </c>
    </row>
    <row r="160" spans="1:11">
      <c r="A160" s="1" t="s">
        <v>179</v>
      </c>
      <c r="B160" s="1" t="s">
        <v>25</v>
      </c>
      <c r="C160" s="1" t="s">
        <v>45</v>
      </c>
      <c r="D160" s="10">
        <v>1036</v>
      </c>
      <c r="E160" s="10">
        <v>1066</v>
      </c>
      <c r="F160" s="4">
        <v>79</v>
      </c>
      <c r="G160" s="2">
        <v>45638</v>
      </c>
      <c r="H160" s="21">
        <f t="shared" si="2"/>
        <v>45627</v>
      </c>
      <c r="I160" s="26">
        <v>45638</v>
      </c>
      <c r="J160" s="3">
        <v>14.31</v>
      </c>
      <c r="K160" s="10">
        <f>Table2[[#This Row],[Order Quantity]]*Table2[[#This Row],[Price per Unit]]</f>
        <v>14825.16</v>
      </c>
    </row>
    <row r="161" spans="1:11">
      <c r="A161" s="1" t="s">
        <v>180</v>
      </c>
      <c r="B161" s="1" t="s">
        <v>27</v>
      </c>
      <c r="C161" s="1" t="s">
        <v>16</v>
      </c>
      <c r="D161" s="10">
        <v>1454</v>
      </c>
      <c r="E161" s="10">
        <v>1407</v>
      </c>
      <c r="F161" s="4">
        <v>27</v>
      </c>
      <c r="G161" s="2">
        <v>45471</v>
      </c>
      <c r="H161" s="21">
        <f t="shared" si="2"/>
        <v>45474</v>
      </c>
      <c r="I161" s="26">
        <v>45474</v>
      </c>
      <c r="J161" s="3">
        <v>8.5299999999999994</v>
      </c>
      <c r="K161" s="10">
        <f>Table2[[#This Row],[Order Quantity]]*Table2[[#This Row],[Price per Unit]]</f>
        <v>12402.619999999999</v>
      </c>
    </row>
    <row r="162" spans="1:11">
      <c r="A162" s="1" t="s">
        <v>181</v>
      </c>
      <c r="B162" s="1" t="s">
        <v>27</v>
      </c>
      <c r="C162" s="1" t="s">
        <v>45</v>
      </c>
      <c r="D162" s="10">
        <v>4072</v>
      </c>
      <c r="E162" s="10">
        <v>4223</v>
      </c>
      <c r="F162" s="4">
        <v>149</v>
      </c>
      <c r="G162" s="2">
        <v>45441</v>
      </c>
      <c r="H162" s="21">
        <f t="shared" si="2"/>
        <v>45413</v>
      </c>
      <c r="I162" s="26">
        <v>45441</v>
      </c>
      <c r="J162" s="3">
        <v>16.61</v>
      </c>
      <c r="K162" s="10">
        <f>Table2[[#This Row],[Order Quantity]]*Table2[[#This Row],[Price per Unit]]</f>
        <v>67635.92</v>
      </c>
    </row>
    <row r="163" spans="1:11">
      <c r="A163" s="1" t="s">
        <v>182</v>
      </c>
      <c r="B163" s="1" t="s">
        <v>27</v>
      </c>
      <c r="C163" s="1" t="s">
        <v>16</v>
      </c>
      <c r="D163" s="10">
        <v>2703</v>
      </c>
      <c r="E163" s="10">
        <v>2518</v>
      </c>
      <c r="F163" s="4">
        <v>115</v>
      </c>
      <c r="G163" s="2">
        <v>45652</v>
      </c>
      <c r="H163" s="21">
        <f t="shared" si="2"/>
        <v>45627</v>
      </c>
      <c r="I163" s="26">
        <v>45652</v>
      </c>
      <c r="J163" s="3">
        <v>24.51</v>
      </c>
      <c r="K163" s="10">
        <f>Table2[[#This Row],[Order Quantity]]*Table2[[#This Row],[Price per Unit]]</f>
        <v>66250.53</v>
      </c>
    </row>
    <row r="164" spans="1:11">
      <c r="A164" s="1" t="s">
        <v>183</v>
      </c>
      <c r="B164" s="1" t="s">
        <v>27</v>
      </c>
      <c r="C164" s="1" t="s">
        <v>16</v>
      </c>
      <c r="D164" s="10">
        <v>4743</v>
      </c>
      <c r="E164" s="10">
        <v>4563</v>
      </c>
      <c r="F164" s="4">
        <v>72</v>
      </c>
      <c r="G164" s="2">
        <v>45340</v>
      </c>
      <c r="H164" s="21">
        <f t="shared" si="2"/>
        <v>45323</v>
      </c>
      <c r="I164" s="26">
        <v>45345</v>
      </c>
      <c r="J164" s="3">
        <v>24.94</v>
      </c>
      <c r="K164" s="10">
        <f>Table2[[#This Row],[Order Quantity]]*Table2[[#This Row],[Price per Unit]]</f>
        <v>118290.42000000001</v>
      </c>
    </row>
    <row r="165" spans="1:11">
      <c r="A165" s="1" t="s">
        <v>184</v>
      </c>
      <c r="B165" s="1" t="s">
        <v>12</v>
      </c>
      <c r="C165" s="1" t="s">
        <v>16</v>
      </c>
      <c r="D165" s="10">
        <v>2292</v>
      </c>
      <c r="E165" s="10">
        <v>2169</v>
      </c>
      <c r="F165" s="4">
        <v>82</v>
      </c>
      <c r="G165" s="2">
        <v>45502</v>
      </c>
      <c r="H165" s="21">
        <f t="shared" si="2"/>
        <v>45505</v>
      </c>
      <c r="I165" s="26">
        <v>45505</v>
      </c>
      <c r="J165" s="3">
        <v>13.54</v>
      </c>
      <c r="K165" s="10">
        <f>Table2[[#This Row],[Order Quantity]]*Table2[[#This Row],[Price per Unit]]</f>
        <v>31033.679999999997</v>
      </c>
    </row>
    <row r="166" spans="1:11">
      <c r="A166" s="1" t="s">
        <v>185</v>
      </c>
      <c r="B166" s="1" t="s">
        <v>25</v>
      </c>
      <c r="C166" s="1" t="s">
        <v>16</v>
      </c>
      <c r="D166" s="10">
        <v>2579</v>
      </c>
      <c r="E166" s="10">
        <v>2502</v>
      </c>
      <c r="F166" s="4">
        <v>134</v>
      </c>
      <c r="G166" s="2">
        <v>45435</v>
      </c>
      <c r="H166" s="21">
        <f t="shared" si="2"/>
        <v>45413</v>
      </c>
      <c r="I166" s="26">
        <v>45442</v>
      </c>
      <c r="J166" s="3">
        <v>12.55</v>
      </c>
      <c r="K166" s="10">
        <f>Table2[[#This Row],[Order Quantity]]*Table2[[#This Row],[Price per Unit]]</f>
        <v>32366.45</v>
      </c>
    </row>
    <row r="167" spans="1:11">
      <c r="A167" s="1" t="s">
        <v>186</v>
      </c>
      <c r="B167" s="1" t="s">
        <v>18</v>
      </c>
      <c r="C167" s="1" t="s">
        <v>16</v>
      </c>
      <c r="D167" s="10">
        <v>2565</v>
      </c>
      <c r="E167" s="10">
        <v>2421</v>
      </c>
      <c r="F167" s="4">
        <v>145</v>
      </c>
      <c r="G167" s="2">
        <v>45404</v>
      </c>
      <c r="H167" s="21">
        <f t="shared" si="2"/>
        <v>45383</v>
      </c>
      <c r="I167" s="26">
        <v>45404</v>
      </c>
      <c r="J167" s="3">
        <v>15.55</v>
      </c>
      <c r="K167" s="10">
        <f>Table2[[#This Row],[Order Quantity]]*Table2[[#This Row],[Price per Unit]]</f>
        <v>39885.75</v>
      </c>
    </row>
    <row r="168" spans="1:11">
      <c r="A168" s="1" t="s">
        <v>187</v>
      </c>
      <c r="B168" s="1" t="s">
        <v>27</v>
      </c>
      <c r="C168" s="1" t="s">
        <v>45</v>
      </c>
      <c r="D168" s="10">
        <v>3793</v>
      </c>
      <c r="E168" s="10">
        <v>3732</v>
      </c>
      <c r="F168" s="4">
        <v>77</v>
      </c>
      <c r="G168" s="2">
        <v>45346</v>
      </c>
      <c r="H168" s="21">
        <f t="shared" si="2"/>
        <v>45323</v>
      </c>
      <c r="I168" s="26">
        <v>45351</v>
      </c>
      <c r="J168" s="3">
        <v>8.64</v>
      </c>
      <c r="K168" s="10">
        <f>Table2[[#This Row],[Order Quantity]]*Table2[[#This Row],[Price per Unit]]</f>
        <v>32771.520000000004</v>
      </c>
    </row>
    <row r="169" spans="1:11">
      <c r="A169" s="1" t="s">
        <v>188</v>
      </c>
      <c r="B169" s="1" t="s">
        <v>27</v>
      </c>
      <c r="C169" s="1" t="s">
        <v>13</v>
      </c>
      <c r="D169" s="10">
        <v>1981</v>
      </c>
      <c r="E169" s="10">
        <v>2049</v>
      </c>
      <c r="F169" s="4">
        <v>96</v>
      </c>
      <c r="G169" s="2">
        <v>45346</v>
      </c>
      <c r="H169" s="21">
        <f t="shared" si="2"/>
        <v>45323</v>
      </c>
      <c r="I169" s="26">
        <v>45347</v>
      </c>
      <c r="J169" s="3">
        <v>21.01</v>
      </c>
      <c r="K169" s="10">
        <f>Table2[[#This Row],[Order Quantity]]*Table2[[#This Row],[Price per Unit]]</f>
        <v>41620.810000000005</v>
      </c>
    </row>
    <row r="170" spans="1:11">
      <c r="A170" s="1" t="s">
        <v>189</v>
      </c>
      <c r="B170" s="1" t="s">
        <v>27</v>
      </c>
      <c r="C170" s="1" t="s">
        <v>22</v>
      </c>
      <c r="D170" s="10">
        <v>2323</v>
      </c>
      <c r="E170" s="10">
        <v>2340</v>
      </c>
      <c r="F170" s="4">
        <v>131</v>
      </c>
      <c r="G170" s="2">
        <v>45538</v>
      </c>
      <c r="H170" s="21">
        <f t="shared" si="2"/>
        <v>45536</v>
      </c>
      <c r="I170" s="26">
        <v>45538</v>
      </c>
      <c r="J170" s="3">
        <v>5.54</v>
      </c>
      <c r="K170" s="10">
        <f>Table2[[#This Row],[Order Quantity]]*Table2[[#This Row],[Price per Unit]]</f>
        <v>12869.42</v>
      </c>
    </row>
    <row r="171" spans="1:11">
      <c r="A171" s="1" t="s">
        <v>190</v>
      </c>
      <c r="B171" s="1" t="s">
        <v>12</v>
      </c>
      <c r="C171" s="1" t="s">
        <v>45</v>
      </c>
      <c r="D171" s="10">
        <v>2990</v>
      </c>
      <c r="E171" s="10">
        <v>2917</v>
      </c>
      <c r="F171" s="4">
        <v>150</v>
      </c>
      <c r="G171" s="2">
        <v>45520</v>
      </c>
      <c r="H171" s="21">
        <f t="shared" si="2"/>
        <v>45505</v>
      </c>
      <c r="I171" s="26">
        <v>45520</v>
      </c>
      <c r="J171" s="3">
        <v>11.79</v>
      </c>
      <c r="K171" s="10">
        <f>Table2[[#This Row],[Order Quantity]]*Table2[[#This Row],[Price per Unit]]</f>
        <v>35252.1</v>
      </c>
    </row>
    <row r="172" spans="1:11">
      <c r="A172" s="1" t="s">
        <v>191</v>
      </c>
      <c r="B172" s="1" t="s">
        <v>27</v>
      </c>
      <c r="C172" s="1" t="s">
        <v>16</v>
      </c>
      <c r="D172" s="10">
        <v>4175</v>
      </c>
      <c r="E172" s="10">
        <v>3906</v>
      </c>
      <c r="F172" s="4">
        <v>66</v>
      </c>
      <c r="G172" s="2">
        <v>45369</v>
      </c>
      <c r="H172" s="21">
        <f t="shared" si="2"/>
        <v>45352</v>
      </c>
      <c r="I172" s="26">
        <v>45376</v>
      </c>
      <c r="J172" s="3">
        <v>9.86</v>
      </c>
      <c r="K172" s="10">
        <f>Table2[[#This Row],[Order Quantity]]*Table2[[#This Row],[Price per Unit]]</f>
        <v>41165.5</v>
      </c>
    </row>
    <row r="173" spans="1:11">
      <c r="A173" s="1" t="s">
        <v>192</v>
      </c>
      <c r="B173" s="1" t="s">
        <v>27</v>
      </c>
      <c r="C173" s="1" t="s">
        <v>45</v>
      </c>
      <c r="D173" s="10">
        <v>3691</v>
      </c>
      <c r="E173" s="10">
        <v>3768</v>
      </c>
      <c r="F173" s="4">
        <v>291</v>
      </c>
      <c r="G173" s="2">
        <v>45473</v>
      </c>
      <c r="H173" s="21">
        <f t="shared" si="2"/>
        <v>45474</v>
      </c>
      <c r="I173" s="26">
        <v>45475</v>
      </c>
      <c r="J173" s="3">
        <v>23.89</v>
      </c>
      <c r="K173" s="10">
        <f>Table2[[#This Row],[Order Quantity]]*Table2[[#This Row],[Price per Unit]]</f>
        <v>88177.99</v>
      </c>
    </row>
    <row r="174" spans="1:11">
      <c r="A174" s="1" t="s">
        <v>193</v>
      </c>
      <c r="B174" s="1" t="s">
        <v>25</v>
      </c>
      <c r="C174" s="1" t="s">
        <v>13</v>
      </c>
      <c r="D174" s="10">
        <v>1322</v>
      </c>
      <c r="E174" s="10">
        <v>1367</v>
      </c>
      <c r="F174" s="4">
        <v>14</v>
      </c>
      <c r="G174" s="2">
        <v>45442</v>
      </c>
      <c r="H174" s="21">
        <f t="shared" si="2"/>
        <v>45444</v>
      </c>
      <c r="I174" s="26">
        <v>45444</v>
      </c>
      <c r="J174" s="3">
        <v>6.71</v>
      </c>
      <c r="K174" s="10">
        <f>Table2[[#This Row],[Order Quantity]]*Table2[[#This Row],[Price per Unit]]</f>
        <v>8870.6200000000008</v>
      </c>
    </row>
    <row r="175" spans="1:11">
      <c r="A175" s="1" t="s">
        <v>194</v>
      </c>
      <c r="B175" s="1" t="s">
        <v>12</v>
      </c>
      <c r="C175" s="1" t="s">
        <v>22</v>
      </c>
      <c r="D175" s="10">
        <v>4742</v>
      </c>
      <c r="E175" s="10">
        <v>4355</v>
      </c>
      <c r="F175" s="4">
        <v>310</v>
      </c>
      <c r="G175" s="2">
        <v>45373</v>
      </c>
      <c r="H175" s="21">
        <f t="shared" si="2"/>
        <v>45352</v>
      </c>
      <c r="I175" s="26">
        <v>45373</v>
      </c>
      <c r="J175" s="3">
        <v>17.86</v>
      </c>
      <c r="K175" s="10">
        <f>Table2[[#This Row],[Order Quantity]]*Table2[[#This Row],[Price per Unit]]</f>
        <v>84692.12</v>
      </c>
    </row>
    <row r="176" spans="1:11">
      <c r="A176" s="1" t="s">
        <v>195</v>
      </c>
      <c r="B176" s="1" t="s">
        <v>18</v>
      </c>
      <c r="C176" s="1" t="s">
        <v>20</v>
      </c>
      <c r="D176" s="10">
        <v>2420</v>
      </c>
      <c r="E176" s="10">
        <v>2474</v>
      </c>
      <c r="F176" s="4">
        <v>83</v>
      </c>
      <c r="G176" s="2">
        <v>45486</v>
      </c>
      <c r="H176" s="21">
        <f t="shared" si="2"/>
        <v>45474</v>
      </c>
      <c r="I176" s="26">
        <v>45491</v>
      </c>
      <c r="J176" s="3">
        <v>10.19</v>
      </c>
      <c r="K176" s="10">
        <f>Table2[[#This Row],[Order Quantity]]*Table2[[#This Row],[Price per Unit]]</f>
        <v>24659.8</v>
      </c>
    </row>
    <row r="177" spans="1:11">
      <c r="A177" s="1" t="s">
        <v>196</v>
      </c>
      <c r="B177" s="1" t="s">
        <v>27</v>
      </c>
      <c r="C177" s="1" t="s">
        <v>22</v>
      </c>
      <c r="D177" s="10">
        <v>3690</v>
      </c>
      <c r="E177" s="10">
        <v>3469</v>
      </c>
      <c r="F177" s="4">
        <v>186</v>
      </c>
      <c r="G177" s="2">
        <v>45513</v>
      </c>
      <c r="H177" s="21">
        <f t="shared" si="2"/>
        <v>45505</v>
      </c>
      <c r="I177" s="26">
        <v>45513</v>
      </c>
      <c r="J177" s="3">
        <v>13.19</v>
      </c>
      <c r="K177" s="10">
        <f>Table2[[#This Row],[Order Quantity]]*Table2[[#This Row],[Price per Unit]]</f>
        <v>48671.1</v>
      </c>
    </row>
    <row r="178" spans="1:11">
      <c r="A178" s="1" t="s">
        <v>197</v>
      </c>
      <c r="B178" s="1" t="s">
        <v>15</v>
      </c>
      <c r="C178" s="1" t="s">
        <v>16</v>
      </c>
      <c r="D178" s="10">
        <v>4077</v>
      </c>
      <c r="E178" s="10">
        <v>4136</v>
      </c>
      <c r="F178" s="4">
        <v>81</v>
      </c>
      <c r="G178" s="2">
        <v>45411</v>
      </c>
      <c r="H178" s="21">
        <f t="shared" si="2"/>
        <v>45383</v>
      </c>
      <c r="I178" s="26">
        <v>45411</v>
      </c>
      <c r="J178" s="3">
        <v>22.37</v>
      </c>
      <c r="K178" s="10">
        <f>Table2[[#This Row],[Order Quantity]]*Table2[[#This Row],[Price per Unit]]</f>
        <v>91202.49</v>
      </c>
    </row>
    <row r="179" spans="1:11">
      <c r="A179" s="1" t="s">
        <v>198</v>
      </c>
      <c r="B179" s="1" t="s">
        <v>15</v>
      </c>
      <c r="C179" s="1" t="s">
        <v>16</v>
      </c>
      <c r="D179" s="10">
        <v>4723</v>
      </c>
      <c r="E179" s="10">
        <v>4379</v>
      </c>
      <c r="F179" s="4">
        <v>192</v>
      </c>
      <c r="G179" s="2">
        <v>45300</v>
      </c>
      <c r="H179" s="21">
        <f t="shared" si="2"/>
        <v>45292</v>
      </c>
      <c r="I179" s="26">
        <v>45307</v>
      </c>
      <c r="J179" s="3">
        <v>15.25</v>
      </c>
      <c r="K179" s="10">
        <f>Table2[[#This Row],[Order Quantity]]*Table2[[#This Row],[Price per Unit]]</f>
        <v>72025.75</v>
      </c>
    </row>
    <row r="180" spans="1:11">
      <c r="A180" s="1" t="s">
        <v>199</v>
      </c>
      <c r="B180" s="1" t="s">
        <v>18</v>
      </c>
      <c r="C180" s="1" t="s">
        <v>16</v>
      </c>
      <c r="D180" s="10">
        <v>4533</v>
      </c>
      <c r="E180" s="10">
        <v>4510</v>
      </c>
      <c r="F180" s="4">
        <v>126</v>
      </c>
      <c r="G180" s="2">
        <v>45526</v>
      </c>
      <c r="H180" s="21">
        <f t="shared" si="2"/>
        <v>45505</v>
      </c>
      <c r="I180" s="26">
        <v>45529</v>
      </c>
      <c r="J180" s="3">
        <v>7.79</v>
      </c>
      <c r="K180" s="10">
        <f>Table2[[#This Row],[Order Quantity]]*Table2[[#This Row],[Price per Unit]]</f>
        <v>35312.07</v>
      </c>
    </row>
    <row r="181" spans="1:11">
      <c r="A181" s="1" t="s">
        <v>200</v>
      </c>
      <c r="B181" s="1" t="s">
        <v>27</v>
      </c>
      <c r="C181" s="1" t="s">
        <v>16</v>
      </c>
      <c r="D181" s="10">
        <v>2551</v>
      </c>
      <c r="E181" s="10">
        <v>2346</v>
      </c>
      <c r="F181" s="4">
        <v>171</v>
      </c>
      <c r="G181" s="2">
        <v>45584</v>
      </c>
      <c r="H181" s="21">
        <f t="shared" si="2"/>
        <v>45566</v>
      </c>
      <c r="I181" s="26">
        <v>45584</v>
      </c>
      <c r="J181" s="3">
        <v>18.82</v>
      </c>
      <c r="K181" s="10">
        <f>Table2[[#This Row],[Order Quantity]]*Table2[[#This Row],[Price per Unit]]</f>
        <v>48009.82</v>
      </c>
    </row>
    <row r="182" spans="1:11">
      <c r="A182" s="1" t="s">
        <v>201</v>
      </c>
      <c r="B182" s="1" t="s">
        <v>25</v>
      </c>
      <c r="C182" s="1" t="s">
        <v>22</v>
      </c>
      <c r="D182" s="10">
        <v>2675</v>
      </c>
      <c r="E182" s="10">
        <v>2454</v>
      </c>
      <c r="F182" s="4">
        <v>123</v>
      </c>
      <c r="G182" s="2">
        <v>45308</v>
      </c>
      <c r="H182" s="21">
        <f t="shared" si="2"/>
        <v>45292</v>
      </c>
      <c r="I182" s="26">
        <v>45310</v>
      </c>
      <c r="J182" s="3">
        <v>10.48</v>
      </c>
      <c r="K182" s="10">
        <f>Table2[[#This Row],[Order Quantity]]*Table2[[#This Row],[Price per Unit]]</f>
        <v>28034</v>
      </c>
    </row>
    <row r="183" spans="1:11">
      <c r="A183" s="1" t="s">
        <v>202</v>
      </c>
      <c r="B183" s="1" t="s">
        <v>18</v>
      </c>
      <c r="C183" s="1" t="s">
        <v>16</v>
      </c>
      <c r="D183" s="10">
        <v>2122</v>
      </c>
      <c r="E183" s="10">
        <v>1943</v>
      </c>
      <c r="F183" s="4">
        <v>38</v>
      </c>
      <c r="G183" s="2">
        <v>45578</v>
      </c>
      <c r="H183" s="21">
        <f t="shared" si="2"/>
        <v>45566</v>
      </c>
      <c r="I183" s="26">
        <v>45581</v>
      </c>
      <c r="J183" s="3">
        <v>10.27</v>
      </c>
      <c r="K183" s="10">
        <f>Table2[[#This Row],[Order Quantity]]*Table2[[#This Row],[Price per Unit]]</f>
        <v>21792.94</v>
      </c>
    </row>
    <row r="184" spans="1:11">
      <c r="A184" s="1" t="s">
        <v>203</v>
      </c>
      <c r="B184" s="1" t="s">
        <v>18</v>
      </c>
      <c r="C184" s="1" t="s">
        <v>22</v>
      </c>
      <c r="D184" s="10">
        <v>4763</v>
      </c>
      <c r="E184" s="10">
        <v>4465</v>
      </c>
      <c r="F184" s="4">
        <v>242</v>
      </c>
      <c r="G184" s="2">
        <v>45464</v>
      </c>
      <c r="H184" s="21">
        <f t="shared" si="2"/>
        <v>45444</v>
      </c>
      <c r="I184" s="26">
        <v>45464</v>
      </c>
      <c r="J184" s="3">
        <v>14.89</v>
      </c>
      <c r="K184" s="10">
        <f>Table2[[#This Row],[Order Quantity]]*Table2[[#This Row],[Price per Unit]]</f>
        <v>70921.070000000007</v>
      </c>
    </row>
    <row r="185" spans="1:11">
      <c r="A185" s="1" t="s">
        <v>204</v>
      </c>
      <c r="B185" s="1" t="s">
        <v>12</v>
      </c>
      <c r="C185" s="1" t="s">
        <v>20</v>
      </c>
      <c r="D185" s="10">
        <v>3469</v>
      </c>
      <c r="E185" s="10">
        <v>3332</v>
      </c>
      <c r="F185" s="4">
        <v>213</v>
      </c>
      <c r="G185" s="2">
        <v>45421</v>
      </c>
      <c r="H185" s="21">
        <f t="shared" si="2"/>
        <v>45413</v>
      </c>
      <c r="I185" s="26">
        <v>45422</v>
      </c>
      <c r="J185" s="3">
        <v>13.44</v>
      </c>
      <c r="K185" s="10">
        <f>Table2[[#This Row],[Order Quantity]]*Table2[[#This Row],[Price per Unit]]</f>
        <v>46623.360000000001</v>
      </c>
    </row>
    <row r="186" spans="1:11">
      <c r="A186" s="1" t="s">
        <v>205</v>
      </c>
      <c r="B186" s="1" t="s">
        <v>15</v>
      </c>
      <c r="C186" s="1" t="s">
        <v>20</v>
      </c>
      <c r="D186" s="10">
        <v>1886</v>
      </c>
      <c r="E186" s="10">
        <v>1749</v>
      </c>
      <c r="F186" s="4">
        <v>28</v>
      </c>
      <c r="G186" s="2">
        <v>45320</v>
      </c>
      <c r="H186" s="21">
        <f t="shared" si="2"/>
        <v>45292</v>
      </c>
      <c r="I186" s="26">
        <v>45322</v>
      </c>
      <c r="J186" s="3">
        <v>20.420000000000002</v>
      </c>
      <c r="K186" s="10">
        <f>Table2[[#This Row],[Order Quantity]]*Table2[[#This Row],[Price per Unit]]</f>
        <v>38512.120000000003</v>
      </c>
    </row>
    <row r="187" spans="1:11">
      <c r="A187" s="1" t="s">
        <v>206</v>
      </c>
      <c r="B187" s="1" t="s">
        <v>18</v>
      </c>
      <c r="C187" s="1" t="s">
        <v>13</v>
      </c>
      <c r="D187" s="10">
        <v>4350</v>
      </c>
      <c r="E187" s="10">
        <v>4103</v>
      </c>
      <c r="F187" s="4">
        <v>143</v>
      </c>
      <c r="G187" s="2">
        <v>45586</v>
      </c>
      <c r="H187" s="21">
        <f t="shared" si="2"/>
        <v>45566</v>
      </c>
      <c r="I187" s="26">
        <v>45593</v>
      </c>
      <c r="J187" s="3">
        <v>19.38</v>
      </c>
      <c r="K187" s="10">
        <f>Table2[[#This Row],[Order Quantity]]*Table2[[#This Row],[Price per Unit]]</f>
        <v>84303</v>
      </c>
    </row>
    <row r="188" spans="1:11">
      <c r="A188" s="1" t="s">
        <v>207</v>
      </c>
      <c r="B188" s="1" t="s">
        <v>18</v>
      </c>
      <c r="C188" s="1" t="s">
        <v>16</v>
      </c>
      <c r="D188" s="10">
        <v>1750</v>
      </c>
      <c r="E188" s="10">
        <v>1824</v>
      </c>
      <c r="F188" s="4">
        <v>68</v>
      </c>
      <c r="G188" s="2">
        <v>45360</v>
      </c>
      <c r="H188" s="21">
        <f t="shared" si="2"/>
        <v>45352</v>
      </c>
      <c r="I188" s="26">
        <v>45367</v>
      </c>
      <c r="J188" s="3">
        <v>24.08</v>
      </c>
      <c r="K188" s="10">
        <f>Table2[[#This Row],[Order Quantity]]*Table2[[#This Row],[Price per Unit]]</f>
        <v>42140</v>
      </c>
    </row>
    <row r="189" spans="1:11">
      <c r="A189" s="1" t="s">
        <v>208</v>
      </c>
      <c r="B189" s="1" t="s">
        <v>12</v>
      </c>
      <c r="C189" s="1" t="s">
        <v>13</v>
      </c>
      <c r="D189" s="10">
        <v>2285</v>
      </c>
      <c r="E189" s="10">
        <v>2067</v>
      </c>
      <c r="F189" s="4">
        <v>58</v>
      </c>
      <c r="G189" s="2">
        <v>45628</v>
      </c>
      <c r="H189" s="21">
        <f t="shared" si="2"/>
        <v>45627</v>
      </c>
      <c r="I189" s="26">
        <v>45631</v>
      </c>
      <c r="J189" s="3">
        <v>16.899999999999999</v>
      </c>
      <c r="K189" s="10">
        <f>Table2[[#This Row],[Order Quantity]]*Table2[[#This Row],[Price per Unit]]</f>
        <v>38616.5</v>
      </c>
    </row>
    <row r="190" spans="1:11">
      <c r="A190" s="1" t="s">
        <v>209</v>
      </c>
      <c r="B190" s="1" t="s">
        <v>18</v>
      </c>
      <c r="C190" s="1" t="s">
        <v>22</v>
      </c>
      <c r="D190" s="10">
        <v>4960</v>
      </c>
      <c r="E190" s="10">
        <v>4579</v>
      </c>
      <c r="F190" s="4">
        <v>245</v>
      </c>
      <c r="G190" s="2">
        <v>45364</v>
      </c>
      <c r="H190" s="21">
        <f t="shared" si="2"/>
        <v>45352</v>
      </c>
      <c r="I190" s="26">
        <v>45364</v>
      </c>
      <c r="J190" s="3">
        <v>14.48</v>
      </c>
      <c r="K190" s="10">
        <f>Table2[[#This Row],[Order Quantity]]*Table2[[#This Row],[Price per Unit]]</f>
        <v>71820.800000000003</v>
      </c>
    </row>
    <row r="191" spans="1:11">
      <c r="A191" s="1" t="s">
        <v>210</v>
      </c>
      <c r="B191" s="1" t="s">
        <v>15</v>
      </c>
      <c r="C191" s="1" t="s">
        <v>16</v>
      </c>
      <c r="D191" s="10">
        <v>2843</v>
      </c>
      <c r="E191" s="10">
        <v>2869</v>
      </c>
      <c r="F191" s="4">
        <v>128</v>
      </c>
      <c r="G191" s="2">
        <v>45333</v>
      </c>
      <c r="H191" s="21">
        <f t="shared" si="2"/>
        <v>45323</v>
      </c>
      <c r="I191" s="26">
        <v>45333</v>
      </c>
      <c r="J191" s="3">
        <v>18.77</v>
      </c>
      <c r="K191" s="10">
        <f>Table2[[#This Row],[Order Quantity]]*Table2[[#This Row],[Price per Unit]]</f>
        <v>53363.11</v>
      </c>
    </row>
    <row r="192" spans="1:11">
      <c r="A192" s="1" t="s">
        <v>211</v>
      </c>
      <c r="B192" s="1" t="s">
        <v>15</v>
      </c>
      <c r="C192" s="1" t="s">
        <v>45</v>
      </c>
      <c r="D192" s="10">
        <v>4726</v>
      </c>
      <c r="E192" s="10">
        <v>4308</v>
      </c>
      <c r="F192" s="4">
        <v>43</v>
      </c>
      <c r="G192" s="2">
        <v>45393</v>
      </c>
      <c r="H192" s="21">
        <f t="shared" si="2"/>
        <v>45383</v>
      </c>
      <c r="I192" s="26">
        <v>45393</v>
      </c>
      <c r="J192" s="3">
        <v>24.35</v>
      </c>
      <c r="K192" s="10">
        <f>Table2[[#This Row],[Order Quantity]]*Table2[[#This Row],[Price per Unit]]</f>
        <v>115078.1</v>
      </c>
    </row>
    <row r="193" spans="1:11">
      <c r="A193" s="1" t="s">
        <v>212</v>
      </c>
      <c r="B193" s="1" t="s">
        <v>27</v>
      </c>
      <c r="C193" s="1" t="s">
        <v>13</v>
      </c>
      <c r="D193" s="10">
        <v>2822</v>
      </c>
      <c r="E193" s="10">
        <v>2672</v>
      </c>
      <c r="F193" s="4">
        <v>177</v>
      </c>
      <c r="G193" s="2">
        <v>45308</v>
      </c>
      <c r="H193" s="21">
        <f t="shared" si="2"/>
        <v>45292</v>
      </c>
      <c r="I193" s="26">
        <v>45308</v>
      </c>
      <c r="J193" s="3">
        <v>24.24</v>
      </c>
      <c r="K193" s="10">
        <f>Table2[[#This Row],[Order Quantity]]*Table2[[#This Row],[Price per Unit]]</f>
        <v>68405.279999999999</v>
      </c>
    </row>
    <row r="194" spans="1:11">
      <c r="A194" s="1" t="s">
        <v>213</v>
      </c>
      <c r="B194" s="1" t="s">
        <v>12</v>
      </c>
      <c r="C194" s="1" t="s">
        <v>45</v>
      </c>
      <c r="D194" s="10">
        <v>4140</v>
      </c>
      <c r="E194" s="10">
        <v>4002</v>
      </c>
      <c r="F194" s="4">
        <v>91</v>
      </c>
      <c r="G194" s="2">
        <v>45507</v>
      </c>
      <c r="H194" s="21">
        <f t="shared" ref="H194:H257" si="3">DATE(YEAR(I194), MONTH(I194), 1)</f>
        <v>45505</v>
      </c>
      <c r="I194" s="26">
        <v>45507</v>
      </c>
      <c r="J194" s="3">
        <v>15.84</v>
      </c>
      <c r="K194" s="10">
        <f>Table2[[#This Row],[Order Quantity]]*Table2[[#This Row],[Price per Unit]]</f>
        <v>65577.600000000006</v>
      </c>
    </row>
    <row r="195" spans="1:11">
      <c r="A195" s="1" t="s">
        <v>214</v>
      </c>
      <c r="B195" s="1" t="s">
        <v>15</v>
      </c>
      <c r="C195" s="1" t="s">
        <v>13</v>
      </c>
      <c r="D195" s="10">
        <v>4562</v>
      </c>
      <c r="E195" s="10">
        <v>4657</v>
      </c>
      <c r="F195" s="4">
        <v>261</v>
      </c>
      <c r="G195" s="2">
        <v>45489</v>
      </c>
      <c r="H195" s="21">
        <f t="shared" si="3"/>
        <v>45474</v>
      </c>
      <c r="I195" s="26">
        <v>45496</v>
      </c>
      <c r="J195" s="3">
        <v>18.850000000000001</v>
      </c>
      <c r="K195" s="10">
        <f>Table2[[#This Row],[Order Quantity]]*Table2[[#This Row],[Price per Unit]]</f>
        <v>85993.700000000012</v>
      </c>
    </row>
    <row r="196" spans="1:11">
      <c r="A196" s="1" t="s">
        <v>215</v>
      </c>
      <c r="B196" s="1" t="s">
        <v>25</v>
      </c>
      <c r="C196" s="1" t="s">
        <v>45</v>
      </c>
      <c r="D196" s="10">
        <v>4226</v>
      </c>
      <c r="E196" s="10">
        <v>4242</v>
      </c>
      <c r="F196" s="4">
        <v>57</v>
      </c>
      <c r="G196" s="2">
        <v>45579</v>
      </c>
      <c r="H196" s="21">
        <f t="shared" si="3"/>
        <v>45566</v>
      </c>
      <c r="I196" s="26">
        <v>45579</v>
      </c>
      <c r="J196" s="3">
        <v>18.399999999999999</v>
      </c>
      <c r="K196" s="10">
        <f>Table2[[#This Row],[Order Quantity]]*Table2[[#This Row],[Price per Unit]]</f>
        <v>77758.399999999994</v>
      </c>
    </row>
    <row r="197" spans="1:11">
      <c r="A197" s="1" t="s">
        <v>216</v>
      </c>
      <c r="B197" s="1" t="s">
        <v>15</v>
      </c>
      <c r="C197" s="1" t="s">
        <v>16</v>
      </c>
      <c r="D197" s="10">
        <v>900</v>
      </c>
      <c r="E197" s="10">
        <v>834</v>
      </c>
      <c r="F197" s="4">
        <v>41</v>
      </c>
      <c r="G197" s="2">
        <v>45561</v>
      </c>
      <c r="H197" s="21">
        <f t="shared" si="3"/>
        <v>45566</v>
      </c>
      <c r="I197" s="26">
        <v>45566</v>
      </c>
      <c r="J197" s="3">
        <v>23.31</v>
      </c>
      <c r="K197" s="10">
        <f>Table2[[#This Row],[Order Quantity]]*Table2[[#This Row],[Price per Unit]]</f>
        <v>20979</v>
      </c>
    </row>
    <row r="198" spans="1:11">
      <c r="A198" s="1" t="s">
        <v>217</v>
      </c>
      <c r="B198" s="1" t="s">
        <v>15</v>
      </c>
      <c r="C198" s="1" t="s">
        <v>16</v>
      </c>
      <c r="D198" s="10">
        <v>1128</v>
      </c>
      <c r="E198" s="10">
        <v>1138</v>
      </c>
      <c r="F198" s="4">
        <v>26</v>
      </c>
      <c r="G198" s="2">
        <v>45606</v>
      </c>
      <c r="H198" s="21">
        <f t="shared" si="3"/>
        <v>45597</v>
      </c>
      <c r="I198" s="26">
        <v>45611</v>
      </c>
      <c r="J198" s="3">
        <v>7.31</v>
      </c>
      <c r="K198" s="10">
        <f>Table2[[#This Row],[Order Quantity]]*Table2[[#This Row],[Price per Unit]]</f>
        <v>8245.68</v>
      </c>
    </row>
    <row r="199" spans="1:11">
      <c r="A199" s="1" t="s">
        <v>218</v>
      </c>
      <c r="B199" s="1" t="s">
        <v>18</v>
      </c>
      <c r="C199" s="1" t="s">
        <v>45</v>
      </c>
      <c r="D199" s="10">
        <v>2000</v>
      </c>
      <c r="E199" s="10">
        <v>1942</v>
      </c>
      <c r="F199" s="4">
        <v>136</v>
      </c>
      <c r="G199" s="2">
        <v>45394</v>
      </c>
      <c r="H199" s="21">
        <f t="shared" si="3"/>
        <v>45383</v>
      </c>
      <c r="I199" s="26">
        <v>45394</v>
      </c>
      <c r="J199" s="3">
        <v>21.89</v>
      </c>
      <c r="K199" s="10">
        <f>Table2[[#This Row],[Order Quantity]]*Table2[[#This Row],[Price per Unit]]</f>
        <v>43780</v>
      </c>
    </row>
    <row r="200" spans="1:11">
      <c r="A200" s="1" t="s">
        <v>219</v>
      </c>
      <c r="B200" s="1" t="s">
        <v>27</v>
      </c>
      <c r="C200" s="1" t="s">
        <v>22</v>
      </c>
      <c r="D200" s="10">
        <v>1682</v>
      </c>
      <c r="E200" s="10">
        <v>1605</v>
      </c>
      <c r="F200" s="4">
        <v>79</v>
      </c>
      <c r="G200" s="2">
        <v>45422</v>
      </c>
      <c r="H200" s="21">
        <f t="shared" si="3"/>
        <v>45413</v>
      </c>
      <c r="I200" s="26">
        <v>45424</v>
      </c>
      <c r="J200" s="3">
        <v>14.62</v>
      </c>
      <c r="K200" s="10">
        <f>Table2[[#This Row],[Order Quantity]]*Table2[[#This Row],[Price per Unit]]</f>
        <v>24590.84</v>
      </c>
    </row>
    <row r="201" spans="1:11">
      <c r="A201" s="1" t="s">
        <v>220</v>
      </c>
      <c r="B201" s="1" t="s">
        <v>25</v>
      </c>
      <c r="C201" s="1" t="s">
        <v>22</v>
      </c>
      <c r="D201" s="10">
        <v>3483</v>
      </c>
      <c r="E201" s="10">
        <v>3365</v>
      </c>
      <c r="F201" s="4">
        <v>128</v>
      </c>
      <c r="G201" s="2">
        <v>45295</v>
      </c>
      <c r="H201" s="21">
        <f t="shared" si="3"/>
        <v>45292</v>
      </c>
      <c r="I201" s="26">
        <v>45297</v>
      </c>
      <c r="J201" s="3">
        <v>16.45</v>
      </c>
      <c r="K201" s="10">
        <f>Table2[[#This Row],[Order Quantity]]*Table2[[#This Row],[Price per Unit]]</f>
        <v>57295.35</v>
      </c>
    </row>
    <row r="202" spans="1:11">
      <c r="A202" s="1" t="s">
        <v>221</v>
      </c>
      <c r="B202" s="1" t="s">
        <v>25</v>
      </c>
      <c r="C202" s="1" t="s">
        <v>16</v>
      </c>
      <c r="D202" s="10">
        <v>1420</v>
      </c>
      <c r="E202" s="10">
        <v>1435</v>
      </c>
      <c r="F202" s="4">
        <v>66</v>
      </c>
      <c r="G202" s="2">
        <v>45399</v>
      </c>
      <c r="H202" s="21">
        <f t="shared" si="3"/>
        <v>45383</v>
      </c>
      <c r="I202" s="26">
        <v>45402</v>
      </c>
      <c r="J202" s="3">
        <v>13.54</v>
      </c>
      <c r="K202" s="10">
        <f>Table2[[#This Row],[Order Quantity]]*Table2[[#This Row],[Price per Unit]]</f>
        <v>19226.8</v>
      </c>
    </row>
    <row r="203" spans="1:11">
      <c r="A203" s="1" t="s">
        <v>222</v>
      </c>
      <c r="B203" s="1" t="s">
        <v>18</v>
      </c>
      <c r="C203" s="1" t="s">
        <v>13</v>
      </c>
      <c r="D203" s="10">
        <v>4021</v>
      </c>
      <c r="E203" s="10">
        <v>3633</v>
      </c>
      <c r="F203" s="4">
        <v>257</v>
      </c>
      <c r="G203" s="2">
        <v>45538</v>
      </c>
      <c r="H203" s="21">
        <f t="shared" si="3"/>
        <v>45536</v>
      </c>
      <c r="I203" s="26">
        <v>45540</v>
      </c>
      <c r="J203" s="3">
        <v>5.43</v>
      </c>
      <c r="K203" s="10">
        <f>Table2[[#This Row],[Order Quantity]]*Table2[[#This Row],[Price per Unit]]</f>
        <v>21834.03</v>
      </c>
    </row>
    <row r="204" spans="1:11">
      <c r="A204" s="1" t="s">
        <v>223</v>
      </c>
      <c r="B204" s="1" t="s">
        <v>27</v>
      </c>
      <c r="C204" s="1" t="s">
        <v>13</v>
      </c>
      <c r="D204" s="10">
        <v>3712</v>
      </c>
      <c r="E204" s="10">
        <v>3554</v>
      </c>
      <c r="F204" s="4">
        <v>267</v>
      </c>
      <c r="G204" s="2">
        <v>45593</v>
      </c>
      <c r="H204" s="21">
        <f t="shared" si="3"/>
        <v>45566</v>
      </c>
      <c r="I204" s="26">
        <v>45594</v>
      </c>
      <c r="J204" s="3">
        <v>6.4</v>
      </c>
      <c r="K204" s="10">
        <f>Table2[[#This Row],[Order Quantity]]*Table2[[#This Row],[Price per Unit]]</f>
        <v>23756.800000000003</v>
      </c>
    </row>
    <row r="205" spans="1:11">
      <c r="A205" s="1" t="s">
        <v>224</v>
      </c>
      <c r="B205" s="1" t="s">
        <v>25</v>
      </c>
      <c r="C205" s="1" t="s">
        <v>20</v>
      </c>
      <c r="D205" s="10">
        <v>4624</v>
      </c>
      <c r="E205" s="10">
        <v>4693</v>
      </c>
      <c r="F205" s="4">
        <v>178</v>
      </c>
      <c r="G205" s="2">
        <v>45476</v>
      </c>
      <c r="H205" s="21">
        <f t="shared" si="3"/>
        <v>45474</v>
      </c>
      <c r="I205" s="26">
        <v>45483</v>
      </c>
      <c r="J205" s="3">
        <v>14.6</v>
      </c>
      <c r="K205" s="10">
        <f>Table2[[#This Row],[Order Quantity]]*Table2[[#This Row],[Price per Unit]]</f>
        <v>67510.399999999994</v>
      </c>
    </row>
    <row r="206" spans="1:11">
      <c r="A206" s="1" t="s">
        <v>225</v>
      </c>
      <c r="B206" s="1" t="s">
        <v>27</v>
      </c>
      <c r="C206" s="1" t="s">
        <v>16</v>
      </c>
      <c r="D206" s="10">
        <v>4011</v>
      </c>
      <c r="E206" s="10">
        <v>3773</v>
      </c>
      <c r="F206" s="4">
        <v>142</v>
      </c>
      <c r="G206" s="2">
        <v>45650</v>
      </c>
      <c r="H206" s="21">
        <f t="shared" si="3"/>
        <v>45627</v>
      </c>
      <c r="I206" s="26">
        <v>45651</v>
      </c>
      <c r="J206" s="3">
        <v>6.83</v>
      </c>
      <c r="K206" s="10">
        <f>Table2[[#This Row],[Order Quantity]]*Table2[[#This Row],[Price per Unit]]</f>
        <v>27395.13</v>
      </c>
    </row>
    <row r="207" spans="1:11">
      <c r="A207" s="1" t="s">
        <v>226</v>
      </c>
      <c r="B207" s="1" t="s">
        <v>27</v>
      </c>
      <c r="C207" s="1" t="s">
        <v>16</v>
      </c>
      <c r="D207" s="10">
        <v>4984</v>
      </c>
      <c r="E207" s="10">
        <v>5033</v>
      </c>
      <c r="F207" s="4">
        <v>51</v>
      </c>
      <c r="G207" s="2">
        <v>45449</v>
      </c>
      <c r="H207" s="21">
        <f t="shared" si="3"/>
        <v>45444</v>
      </c>
      <c r="I207" s="26">
        <v>45449</v>
      </c>
      <c r="J207" s="3">
        <v>14.35</v>
      </c>
      <c r="K207" s="10">
        <f>Table2[[#This Row],[Order Quantity]]*Table2[[#This Row],[Price per Unit]]</f>
        <v>71520.399999999994</v>
      </c>
    </row>
    <row r="208" spans="1:11">
      <c r="A208" s="1" t="s">
        <v>227</v>
      </c>
      <c r="B208" s="1" t="s">
        <v>27</v>
      </c>
      <c r="C208" s="1" t="s">
        <v>45</v>
      </c>
      <c r="D208" s="10">
        <v>645</v>
      </c>
      <c r="E208" s="10">
        <v>603</v>
      </c>
      <c r="F208" s="4">
        <v>7</v>
      </c>
      <c r="G208" s="2">
        <v>45364</v>
      </c>
      <c r="H208" s="21">
        <f t="shared" si="3"/>
        <v>45352</v>
      </c>
      <c r="I208" s="26">
        <v>45369</v>
      </c>
      <c r="J208" s="3">
        <v>5.36</v>
      </c>
      <c r="K208" s="10">
        <f>Table2[[#This Row],[Order Quantity]]*Table2[[#This Row],[Price per Unit]]</f>
        <v>3457.2000000000003</v>
      </c>
    </row>
    <row r="209" spans="1:11">
      <c r="A209" s="1" t="s">
        <v>228</v>
      </c>
      <c r="B209" s="1" t="s">
        <v>27</v>
      </c>
      <c r="C209" s="1" t="s">
        <v>13</v>
      </c>
      <c r="D209" s="10">
        <v>1463</v>
      </c>
      <c r="E209" s="10">
        <v>1364</v>
      </c>
      <c r="F209" s="4">
        <v>104</v>
      </c>
      <c r="G209" s="2">
        <v>45489</v>
      </c>
      <c r="H209" s="21">
        <f t="shared" si="3"/>
        <v>45474</v>
      </c>
      <c r="I209" s="26">
        <v>45494</v>
      </c>
      <c r="J209" s="3">
        <v>20.73</v>
      </c>
      <c r="K209" s="10">
        <f>Table2[[#This Row],[Order Quantity]]*Table2[[#This Row],[Price per Unit]]</f>
        <v>30327.99</v>
      </c>
    </row>
    <row r="210" spans="1:11">
      <c r="A210" s="1" t="s">
        <v>229</v>
      </c>
      <c r="B210" s="1" t="s">
        <v>12</v>
      </c>
      <c r="C210" s="1" t="s">
        <v>45</v>
      </c>
      <c r="D210" s="10">
        <v>1963</v>
      </c>
      <c r="E210" s="10">
        <v>2027</v>
      </c>
      <c r="F210" s="4">
        <v>105</v>
      </c>
      <c r="G210" s="2">
        <v>45517</v>
      </c>
      <c r="H210" s="21">
        <f t="shared" si="3"/>
        <v>45505</v>
      </c>
      <c r="I210" s="26">
        <v>45517</v>
      </c>
      <c r="J210" s="3">
        <v>23.07</v>
      </c>
      <c r="K210" s="10">
        <f>Table2[[#This Row],[Order Quantity]]*Table2[[#This Row],[Price per Unit]]</f>
        <v>45286.41</v>
      </c>
    </row>
    <row r="211" spans="1:11">
      <c r="A211" s="1" t="s">
        <v>230</v>
      </c>
      <c r="B211" s="1" t="s">
        <v>18</v>
      </c>
      <c r="C211" s="1" t="s">
        <v>45</v>
      </c>
      <c r="D211" s="10">
        <v>1384</v>
      </c>
      <c r="E211" s="10">
        <v>1418</v>
      </c>
      <c r="F211" s="4">
        <v>26</v>
      </c>
      <c r="G211" s="2">
        <v>45604</v>
      </c>
      <c r="H211" s="21">
        <f t="shared" si="3"/>
        <v>45597</v>
      </c>
      <c r="I211" s="26">
        <v>45604</v>
      </c>
      <c r="J211" s="3">
        <v>5.94</v>
      </c>
      <c r="K211" s="10">
        <f>Table2[[#This Row],[Order Quantity]]*Table2[[#This Row],[Price per Unit]]</f>
        <v>8220.9600000000009</v>
      </c>
    </row>
    <row r="212" spans="1:11">
      <c r="A212" s="1" t="s">
        <v>231</v>
      </c>
      <c r="B212" s="1" t="s">
        <v>25</v>
      </c>
      <c r="C212" s="1" t="s">
        <v>16</v>
      </c>
      <c r="D212" s="10">
        <v>1436</v>
      </c>
      <c r="E212" s="10">
        <v>1332</v>
      </c>
      <c r="F212" s="4">
        <v>86</v>
      </c>
      <c r="G212" s="2">
        <v>45552</v>
      </c>
      <c r="H212" s="21">
        <f t="shared" si="3"/>
        <v>45536</v>
      </c>
      <c r="I212" s="26">
        <v>45555</v>
      </c>
      <c r="J212" s="3">
        <v>12</v>
      </c>
      <c r="K212" s="10">
        <f>Table2[[#This Row],[Order Quantity]]*Table2[[#This Row],[Price per Unit]]</f>
        <v>17232</v>
      </c>
    </row>
    <row r="213" spans="1:11">
      <c r="A213" s="1" t="s">
        <v>232</v>
      </c>
      <c r="B213" s="1" t="s">
        <v>15</v>
      </c>
      <c r="C213" s="1" t="s">
        <v>22</v>
      </c>
      <c r="D213" s="10">
        <v>1226</v>
      </c>
      <c r="E213" s="10">
        <v>1265</v>
      </c>
      <c r="F213" s="4">
        <v>94</v>
      </c>
      <c r="G213" s="2">
        <v>45352</v>
      </c>
      <c r="H213" s="21">
        <f t="shared" si="3"/>
        <v>45352</v>
      </c>
      <c r="I213" s="26">
        <v>45352</v>
      </c>
      <c r="J213" s="3">
        <v>24.9</v>
      </c>
      <c r="K213" s="10">
        <f>Table2[[#This Row],[Order Quantity]]*Table2[[#This Row],[Price per Unit]]</f>
        <v>30527.399999999998</v>
      </c>
    </row>
    <row r="214" spans="1:11">
      <c r="A214" s="1" t="s">
        <v>233</v>
      </c>
      <c r="B214" s="1" t="s">
        <v>27</v>
      </c>
      <c r="C214" s="1" t="s">
        <v>20</v>
      </c>
      <c r="D214" s="10">
        <v>2966</v>
      </c>
      <c r="E214" s="10">
        <v>3006</v>
      </c>
      <c r="F214" s="4">
        <v>176</v>
      </c>
      <c r="G214" s="2">
        <v>45451</v>
      </c>
      <c r="H214" s="21">
        <f t="shared" si="3"/>
        <v>45444</v>
      </c>
      <c r="I214" s="26">
        <v>45451</v>
      </c>
      <c r="J214" s="3">
        <v>8.08</v>
      </c>
      <c r="K214" s="10">
        <f>Table2[[#This Row],[Order Quantity]]*Table2[[#This Row],[Price per Unit]]</f>
        <v>23965.279999999999</v>
      </c>
    </row>
    <row r="215" spans="1:11">
      <c r="A215" s="1" t="s">
        <v>234</v>
      </c>
      <c r="B215" s="1" t="s">
        <v>18</v>
      </c>
      <c r="C215" s="1" t="s">
        <v>45</v>
      </c>
      <c r="D215" s="10">
        <v>4569</v>
      </c>
      <c r="E215" s="10">
        <v>4539</v>
      </c>
      <c r="F215" s="4">
        <v>283</v>
      </c>
      <c r="G215" s="2">
        <v>45359</v>
      </c>
      <c r="H215" s="21">
        <f t="shared" si="3"/>
        <v>45352</v>
      </c>
      <c r="I215" s="26">
        <v>45362</v>
      </c>
      <c r="J215" s="3">
        <v>5.7</v>
      </c>
      <c r="K215" s="10">
        <f>Table2[[#This Row],[Order Quantity]]*Table2[[#This Row],[Price per Unit]]</f>
        <v>26043.3</v>
      </c>
    </row>
    <row r="216" spans="1:11">
      <c r="A216" s="1" t="s">
        <v>235</v>
      </c>
      <c r="B216" s="1" t="s">
        <v>25</v>
      </c>
      <c r="C216" s="1" t="s">
        <v>45</v>
      </c>
      <c r="D216" s="10">
        <v>1880</v>
      </c>
      <c r="E216" s="10">
        <v>1717</v>
      </c>
      <c r="F216" s="4">
        <v>122</v>
      </c>
      <c r="G216" s="2">
        <v>45320</v>
      </c>
      <c r="H216" s="21">
        <f t="shared" si="3"/>
        <v>45292</v>
      </c>
      <c r="I216" s="26">
        <v>45320</v>
      </c>
      <c r="J216" s="3">
        <v>10.31</v>
      </c>
      <c r="K216" s="10">
        <f>Table2[[#This Row],[Order Quantity]]*Table2[[#This Row],[Price per Unit]]</f>
        <v>19382.8</v>
      </c>
    </row>
    <row r="217" spans="1:11">
      <c r="A217" s="1" t="s">
        <v>236</v>
      </c>
      <c r="B217" s="1" t="s">
        <v>18</v>
      </c>
      <c r="C217" s="1" t="s">
        <v>22</v>
      </c>
      <c r="D217" s="10">
        <v>1718</v>
      </c>
      <c r="E217" s="10">
        <v>1792</v>
      </c>
      <c r="F217" s="4">
        <v>126</v>
      </c>
      <c r="G217" s="2">
        <v>45331</v>
      </c>
      <c r="H217" s="21">
        <f t="shared" si="3"/>
        <v>45323</v>
      </c>
      <c r="I217" s="26">
        <v>45331</v>
      </c>
      <c r="J217" s="3">
        <v>21.19</v>
      </c>
      <c r="K217" s="10">
        <f>Table2[[#This Row],[Order Quantity]]*Table2[[#This Row],[Price per Unit]]</f>
        <v>36404.420000000006</v>
      </c>
    </row>
    <row r="218" spans="1:11">
      <c r="A218" s="1" t="s">
        <v>237</v>
      </c>
      <c r="B218" s="1" t="s">
        <v>27</v>
      </c>
      <c r="C218" s="1" t="s">
        <v>45</v>
      </c>
      <c r="D218" s="10">
        <v>1918</v>
      </c>
      <c r="E218" s="10">
        <v>1751</v>
      </c>
      <c r="F218" s="4">
        <v>67</v>
      </c>
      <c r="G218" s="2">
        <v>45619</v>
      </c>
      <c r="H218" s="21">
        <f t="shared" si="3"/>
        <v>45597</v>
      </c>
      <c r="I218" s="26">
        <v>45619</v>
      </c>
      <c r="J218" s="3">
        <v>12.45</v>
      </c>
      <c r="K218" s="10">
        <f>Table2[[#This Row],[Order Quantity]]*Table2[[#This Row],[Price per Unit]]</f>
        <v>23879.1</v>
      </c>
    </row>
    <row r="219" spans="1:11">
      <c r="A219" s="1" t="s">
        <v>238</v>
      </c>
      <c r="B219" s="1" t="s">
        <v>15</v>
      </c>
      <c r="C219" s="1" t="s">
        <v>45</v>
      </c>
      <c r="D219" s="10">
        <v>4472</v>
      </c>
      <c r="E219" s="10">
        <v>4057</v>
      </c>
      <c r="F219" s="4">
        <v>191</v>
      </c>
      <c r="G219" s="2">
        <v>45467</v>
      </c>
      <c r="H219" s="21">
        <f t="shared" si="3"/>
        <v>45444</v>
      </c>
      <c r="I219" s="26">
        <v>45469</v>
      </c>
      <c r="J219" s="3">
        <v>24.24</v>
      </c>
      <c r="K219" s="10">
        <f>Table2[[#This Row],[Order Quantity]]*Table2[[#This Row],[Price per Unit]]</f>
        <v>108401.28</v>
      </c>
    </row>
    <row r="220" spans="1:11">
      <c r="A220" s="1" t="s">
        <v>239</v>
      </c>
      <c r="B220" s="1" t="s">
        <v>18</v>
      </c>
      <c r="C220" s="1" t="s">
        <v>22</v>
      </c>
      <c r="D220" s="10">
        <v>1295</v>
      </c>
      <c r="E220" s="10">
        <v>1180</v>
      </c>
      <c r="F220" s="4">
        <v>82</v>
      </c>
      <c r="G220" s="2">
        <v>45515</v>
      </c>
      <c r="H220" s="21">
        <f t="shared" si="3"/>
        <v>45505</v>
      </c>
      <c r="I220" s="26">
        <v>45518</v>
      </c>
      <c r="J220" s="3">
        <v>14.9</v>
      </c>
      <c r="K220" s="10">
        <f>Table2[[#This Row],[Order Quantity]]*Table2[[#This Row],[Price per Unit]]</f>
        <v>19295.5</v>
      </c>
    </row>
    <row r="221" spans="1:11">
      <c r="A221" s="1" t="s">
        <v>240</v>
      </c>
      <c r="B221" s="1" t="s">
        <v>27</v>
      </c>
      <c r="C221" s="1" t="s">
        <v>22</v>
      </c>
      <c r="D221" s="10">
        <v>2896</v>
      </c>
      <c r="E221" s="10">
        <v>3000</v>
      </c>
      <c r="F221" s="4">
        <v>149</v>
      </c>
      <c r="G221" s="2">
        <v>45331</v>
      </c>
      <c r="H221" s="21">
        <f t="shared" si="3"/>
        <v>45323</v>
      </c>
      <c r="I221" s="26">
        <v>45331</v>
      </c>
      <c r="J221" s="3">
        <v>18.239999999999998</v>
      </c>
      <c r="K221" s="10">
        <f>Table2[[#This Row],[Order Quantity]]*Table2[[#This Row],[Price per Unit]]</f>
        <v>52823.039999999994</v>
      </c>
    </row>
    <row r="222" spans="1:11">
      <c r="A222" s="1" t="s">
        <v>241</v>
      </c>
      <c r="B222" s="1" t="s">
        <v>12</v>
      </c>
      <c r="C222" s="1" t="s">
        <v>20</v>
      </c>
      <c r="D222" s="10">
        <v>2496</v>
      </c>
      <c r="E222" s="10">
        <v>2346</v>
      </c>
      <c r="F222" s="4">
        <v>167</v>
      </c>
      <c r="G222" s="2">
        <v>45459</v>
      </c>
      <c r="H222" s="21">
        <f t="shared" si="3"/>
        <v>45444</v>
      </c>
      <c r="I222" s="26">
        <v>45460</v>
      </c>
      <c r="J222" s="3">
        <v>20.95</v>
      </c>
      <c r="K222" s="10">
        <f>Table2[[#This Row],[Order Quantity]]*Table2[[#This Row],[Price per Unit]]</f>
        <v>52291.199999999997</v>
      </c>
    </row>
    <row r="223" spans="1:11">
      <c r="A223" s="1" t="s">
        <v>242</v>
      </c>
      <c r="B223" s="1" t="s">
        <v>18</v>
      </c>
      <c r="C223" s="1" t="s">
        <v>45</v>
      </c>
      <c r="D223" s="10">
        <v>2204</v>
      </c>
      <c r="E223" s="10">
        <v>2094</v>
      </c>
      <c r="F223" s="4">
        <v>55</v>
      </c>
      <c r="G223" s="2">
        <v>45647</v>
      </c>
      <c r="H223" s="21">
        <f t="shared" si="3"/>
        <v>45627</v>
      </c>
      <c r="I223" s="26">
        <v>45652</v>
      </c>
      <c r="J223" s="3">
        <v>23.6</v>
      </c>
      <c r="K223" s="10">
        <f>Table2[[#This Row],[Order Quantity]]*Table2[[#This Row],[Price per Unit]]</f>
        <v>52014.400000000001</v>
      </c>
    </row>
    <row r="224" spans="1:11">
      <c r="A224" s="1" t="s">
        <v>243</v>
      </c>
      <c r="B224" s="1" t="s">
        <v>12</v>
      </c>
      <c r="C224" s="1" t="s">
        <v>13</v>
      </c>
      <c r="D224" s="10">
        <v>4238</v>
      </c>
      <c r="E224" s="10">
        <v>4292</v>
      </c>
      <c r="F224" s="4">
        <v>90</v>
      </c>
      <c r="G224" s="2">
        <v>45605</v>
      </c>
      <c r="H224" s="21">
        <f t="shared" si="3"/>
        <v>45597</v>
      </c>
      <c r="I224" s="26">
        <v>45605</v>
      </c>
      <c r="J224" s="3">
        <v>22.62</v>
      </c>
      <c r="K224" s="10">
        <f>Table2[[#This Row],[Order Quantity]]*Table2[[#This Row],[Price per Unit]]</f>
        <v>95863.56</v>
      </c>
    </row>
    <row r="225" spans="1:11">
      <c r="A225" s="1" t="s">
        <v>244</v>
      </c>
      <c r="B225" s="1" t="s">
        <v>27</v>
      </c>
      <c r="C225" s="1" t="s">
        <v>20</v>
      </c>
      <c r="D225" s="10">
        <v>3219</v>
      </c>
      <c r="E225" s="10">
        <v>3058</v>
      </c>
      <c r="F225" s="4">
        <v>189</v>
      </c>
      <c r="G225" s="2">
        <v>45647</v>
      </c>
      <c r="H225" s="21">
        <f t="shared" si="3"/>
        <v>45627</v>
      </c>
      <c r="I225" s="26">
        <v>45647</v>
      </c>
      <c r="J225" s="3">
        <v>8.2200000000000006</v>
      </c>
      <c r="K225" s="10">
        <f>Table2[[#This Row],[Order Quantity]]*Table2[[#This Row],[Price per Unit]]</f>
        <v>26460.18</v>
      </c>
    </row>
    <row r="226" spans="1:11">
      <c r="A226" s="1" t="s">
        <v>245</v>
      </c>
      <c r="B226" s="1" t="s">
        <v>12</v>
      </c>
      <c r="C226" s="1" t="s">
        <v>45</v>
      </c>
      <c r="D226" s="10">
        <v>1088</v>
      </c>
      <c r="E226" s="10">
        <v>1062</v>
      </c>
      <c r="F226" s="4">
        <v>11</v>
      </c>
      <c r="G226" s="2">
        <v>45337</v>
      </c>
      <c r="H226" s="21">
        <f t="shared" si="3"/>
        <v>45323</v>
      </c>
      <c r="I226" s="26">
        <v>45337</v>
      </c>
      <c r="J226" s="3">
        <v>10.74</v>
      </c>
      <c r="K226" s="10">
        <f>Table2[[#This Row],[Order Quantity]]*Table2[[#This Row],[Price per Unit]]</f>
        <v>11685.12</v>
      </c>
    </row>
    <row r="227" spans="1:11">
      <c r="A227" s="1" t="s">
        <v>246</v>
      </c>
      <c r="B227" s="1" t="s">
        <v>18</v>
      </c>
      <c r="C227" s="1" t="s">
        <v>22</v>
      </c>
      <c r="D227" s="10">
        <v>1636</v>
      </c>
      <c r="E227" s="10">
        <v>1609</v>
      </c>
      <c r="F227" s="4">
        <v>29</v>
      </c>
      <c r="G227" s="2">
        <v>45635</v>
      </c>
      <c r="H227" s="21">
        <f t="shared" si="3"/>
        <v>45627</v>
      </c>
      <c r="I227" s="26">
        <v>45637</v>
      </c>
      <c r="J227" s="3">
        <v>12.53</v>
      </c>
      <c r="K227" s="10">
        <f>Table2[[#This Row],[Order Quantity]]*Table2[[#This Row],[Price per Unit]]</f>
        <v>20499.079999999998</v>
      </c>
    </row>
    <row r="228" spans="1:11">
      <c r="A228" s="1" t="s">
        <v>247</v>
      </c>
      <c r="B228" s="1" t="s">
        <v>12</v>
      </c>
      <c r="C228" s="1" t="s">
        <v>13</v>
      </c>
      <c r="D228" s="10">
        <v>1507</v>
      </c>
      <c r="E228" s="10">
        <v>1380</v>
      </c>
      <c r="F228" s="4">
        <v>87</v>
      </c>
      <c r="G228" s="2">
        <v>45515</v>
      </c>
      <c r="H228" s="21">
        <f t="shared" si="3"/>
        <v>45505</v>
      </c>
      <c r="I228" s="26">
        <v>45515</v>
      </c>
      <c r="J228" s="3">
        <v>15.83</v>
      </c>
      <c r="K228" s="10">
        <f>Table2[[#This Row],[Order Quantity]]*Table2[[#This Row],[Price per Unit]]</f>
        <v>23855.81</v>
      </c>
    </row>
    <row r="229" spans="1:11">
      <c r="A229" s="1" t="s">
        <v>248</v>
      </c>
      <c r="B229" s="1" t="s">
        <v>12</v>
      </c>
      <c r="C229" s="1" t="s">
        <v>20</v>
      </c>
      <c r="D229" s="10">
        <v>4402</v>
      </c>
      <c r="E229" s="10">
        <v>4220</v>
      </c>
      <c r="F229" s="4">
        <v>95</v>
      </c>
      <c r="G229" s="2">
        <v>45569</v>
      </c>
      <c r="H229" s="21">
        <f t="shared" si="3"/>
        <v>45566</v>
      </c>
      <c r="I229" s="26">
        <v>45570</v>
      </c>
      <c r="J229" s="3">
        <v>20.07</v>
      </c>
      <c r="K229" s="10">
        <f>Table2[[#This Row],[Order Quantity]]*Table2[[#This Row],[Price per Unit]]</f>
        <v>88348.14</v>
      </c>
    </row>
    <row r="230" spans="1:11">
      <c r="A230" s="1" t="s">
        <v>249</v>
      </c>
      <c r="B230" s="1" t="s">
        <v>25</v>
      </c>
      <c r="C230" s="1" t="s">
        <v>20</v>
      </c>
      <c r="D230" s="10">
        <v>2387</v>
      </c>
      <c r="E230" s="10">
        <v>2424</v>
      </c>
      <c r="F230" s="4">
        <v>184</v>
      </c>
      <c r="G230" s="2">
        <v>45303</v>
      </c>
      <c r="H230" s="21">
        <f t="shared" si="3"/>
        <v>45292</v>
      </c>
      <c r="I230" s="26">
        <v>45306</v>
      </c>
      <c r="J230" s="3">
        <v>8.33</v>
      </c>
      <c r="K230" s="10">
        <f>Table2[[#This Row],[Order Quantity]]*Table2[[#This Row],[Price per Unit]]</f>
        <v>19883.71</v>
      </c>
    </row>
    <row r="231" spans="1:11">
      <c r="A231" s="1" t="s">
        <v>250</v>
      </c>
      <c r="B231" s="1" t="s">
        <v>25</v>
      </c>
      <c r="C231" s="1" t="s">
        <v>22</v>
      </c>
      <c r="D231" s="10">
        <v>1385</v>
      </c>
      <c r="E231" s="10">
        <v>1318</v>
      </c>
      <c r="F231" s="4">
        <v>70</v>
      </c>
      <c r="G231" s="2">
        <v>45597</v>
      </c>
      <c r="H231" s="21">
        <f t="shared" si="3"/>
        <v>45597</v>
      </c>
      <c r="I231" s="26">
        <v>45600</v>
      </c>
      <c r="J231" s="3">
        <v>5.91</v>
      </c>
      <c r="K231" s="10">
        <f>Table2[[#This Row],[Order Quantity]]*Table2[[#This Row],[Price per Unit]]</f>
        <v>8185.35</v>
      </c>
    </row>
    <row r="232" spans="1:11">
      <c r="A232" s="1" t="s">
        <v>251</v>
      </c>
      <c r="B232" s="1" t="s">
        <v>15</v>
      </c>
      <c r="C232" s="1" t="s">
        <v>13</v>
      </c>
      <c r="D232" s="10">
        <v>1186</v>
      </c>
      <c r="E232" s="10">
        <v>1239</v>
      </c>
      <c r="F232" s="4">
        <v>77</v>
      </c>
      <c r="G232" s="2">
        <v>45298</v>
      </c>
      <c r="H232" s="21">
        <f t="shared" si="3"/>
        <v>45292</v>
      </c>
      <c r="I232" s="26">
        <v>45300</v>
      </c>
      <c r="J232" s="3">
        <v>7.6</v>
      </c>
      <c r="K232" s="10">
        <f>Table2[[#This Row],[Order Quantity]]*Table2[[#This Row],[Price per Unit]]</f>
        <v>9013.6</v>
      </c>
    </row>
    <row r="233" spans="1:11">
      <c r="A233" s="1" t="s">
        <v>252</v>
      </c>
      <c r="B233" s="1" t="s">
        <v>27</v>
      </c>
      <c r="C233" s="1" t="s">
        <v>16</v>
      </c>
      <c r="D233" s="10">
        <v>1406</v>
      </c>
      <c r="E233" s="10">
        <v>1438</v>
      </c>
      <c r="F233" s="4">
        <v>51</v>
      </c>
      <c r="G233" s="2">
        <v>45349</v>
      </c>
      <c r="H233" s="21">
        <f t="shared" si="3"/>
        <v>45352</v>
      </c>
      <c r="I233" s="26">
        <v>45354</v>
      </c>
      <c r="J233" s="3">
        <v>21.38</v>
      </c>
      <c r="K233" s="10">
        <f>Table2[[#This Row],[Order Quantity]]*Table2[[#This Row],[Price per Unit]]</f>
        <v>30060.28</v>
      </c>
    </row>
    <row r="234" spans="1:11">
      <c r="A234" s="1" t="s">
        <v>253</v>
      </c>
      <c r="B234" s="1" t="s">
        <v>12</v>
      </c>
      <c r="C234" s="1" t="s">
        <v>45</v>
      </c>
      <c r="D234" s="10">
        <v>4109</v>
      </c>
      <c r="E234" s="10">
        <v>3796</v>
      </c>
      <c r="F234" s="4">
        <v>162</v>
      </c>
      <c r="G234" s="2">
        <v>45390</v>
      </c>
      <c r="H234" s="21">
        <f t="shared" si="3"/>
        <v>45383</v>
      </c>
      <c r="I234" s="26">
        <v>45392</v>
      </c>
      <c r="J234" s="3">
        <v>23.89</v>
      </c>
      <c r="K234" s="10">
        <f>Table2[[#This Row],[Order Quantity]]*Table2[[#This Row],[Price per Unit]]</f>
        <v>98164.010000000009</v>
      </c>
    </row>
    <row r="235" spans="1:11">
      <c r="A235" s="1" t="s">
        <v>254</v>
      </c>
      <c r="B235" s="1" t="s">
        <v>27</v>
      </c>
      <c r="C235" s="1" t="s">
        <v>20</v>
      </c>
      <c r="D235" s="10">
        <v>538</v>
      </c>
      <c r="E235" s="10">
        <v>526</v>
      </c>
      <c r="F235" s="4">
        <v>35</v>
      </c>
      <c r="G235" s="2">
        <v>45579</v>
      </c>
      <c r="H235" s="21">
        <f t="shared" si="3"/>
        <v>45566</v>
      </c>
      <c r="I235" s="26">
        <v>45579</v>
      </c>
      <c r="J235" s="3">
        <v>10.97</v>
      </c>
      <c r="K235" s="10">
        <f>Table2[[#This Row],[Order Quantity]]*Table2[[#This Row],[Price per Unit]]</f>
        <v>5901.8600000000006</v>
      </c>
    </row>
    <row r="236" spans="1:11">
      <c r="A236" s="1" t="s">
        <v>255</v>
      </c>
      <c r="B236" s="1" t="s">
        <v>12</v>
      </c>
      <c r="C236" s="1" t="s">
        <v>20</v>
      </c>
      <c r="D236" s="10">
        <v>3655</v>
      </c>
      <c r="E236" s="10">
        <v>3648</v>
      </c>
      <c r="F236" s="4">
        <v>106</v>
      </c>
      <c r="G236" s="2">
        <v>45527</v>
      </c>
      <c r="H236" s="21">
        <f t="shared" si="3"/>
        <v>45505</v>
      </c>
      <c r="I236" s="26">
        <v>45534</v>
      </c>
      <c r="J236" s="3">
        <v>24.02</v>
      </c>
      <c r="K236" s="10">
        <f>Table2[[#This Row],[Order Quantity]]*Table2[[#This Row],[Price per Unit]]</f>
        <v>87793.099999999991</v>
      </c>
    </row>
    <row r="237" spans="1:11">
      <c r="A237" s="1" t="s">
        <v>256</v>
      </c>
      <c r="B237" s="1" t="s">
        <v>18</v>
      </c>
      <c r="C237" s="1" t="s">
        <v>20</v>
      </c>
      <c r="D237" s="10">
        <v>1488</v>
      </c>
      <c r="E237" s="10">
        <v>1549</v>
      </c>
      <c r="F237" s="4">
        <v>61</v>
      </c>
      <c r="G237" s="2">
        <v>45553</v>
      </c>
      <c r="H237" s="21">
        <f t="shared" si="3"/>
        <v>45536</v>
      </c>
      <c r="I237" s="26">
        <v>45553</v>
      </c>
      <c r="J237" s="3">
        <v>17.77</v>
      </c>
      <c r="K237" s="10">
        <f>Table2[[#This Row],[Order Quantity]]*Table2[[#This Row],[Price per Unit]]</f>
        <v>26441.759999999998</v>
      </c>
    </row>
    <row r="238" spans="1:11">
      <c r="A238" s="1" t="s">
        <v>257</v>
      </c>
      <c r="B238" s="1" t="s">
        <v>15</v>
      </c>
      <c r="C238" s="1" t="s">
        <v>45</v>
      </c>
      <c r="D238" s="10">
        <v>4463</v>
      </c>
      <c r="E238" s="10">
        <v>4501</v>
      </c>
      <c r="F238" s="4">
        <v>280</v>
      </c>
      <c r="G238" s="2">
        <v>45572</v>
      </c>
      <c r="H238" s="21">
        <f t="shared" si="3"/>
        <v>45566</v>
      </c>
      <c r="I238" s="26">
        <v>45579</v>
      </c>
      <c r="J238" s="3">
        <v>9.01</v>
      </c>
      <c r="K238" s="10">
        <f>Table2[[#This Row],[Order Quantity]]*Table2[[#This Row],[Price per Unit]]</f>
        <v>40211.629999999997</v>
      </c>
    </row>
    <row r="239" spans="1:11">
      <c r="A239" s="1" t="s">
        <v>258</v>
      </c>
      <c r="B239" s="1" t="s">
        <v>18</v>
      </c>
      <c r="C239" s="1" t="s">
        <v>16</v>
      </c>
      <c r="D239" s="10">
        <v>2309</v>
      </c>
      <c r="E239" s="10">
        <v>2377</v>
      </c>
      <c r="F239" s="4">
        <v>102</v>
      </c>
      <c r="G239" s="2">
        <v>45436</v>
      </c>
      <c r="H239" s="21">
        <f t="shared" si="3"/>
        <v>45413</v>
      </c>
      <c r="I239" s="26">
        <v>45438</v>
      </c>
      <c r="J239" s="3">
        <v>24.36</v>
      </c>
      <c r="K239" s="10">
        <f>Table2[[#This Row],[Order Quantity]]*Table2[[#This Row],[Price per Unit]]</f>
        <v>56247.24</v>
      </c>
    </row>
    <row r="240" spans="1:11">
      <c r="A240" s="1" t="s">
        <v>259</v>
      </c>
      <c r="B240" s="1" t="s">
        <v>25</v>
      </c>
      <c r="C240" s="1" t="s">
        <v>20</v>
      </c>
      <c r="D240" s="10">
        <v>3880</v>
      </c>
      <c r="E240" s="10">
        <v>3581</v>
      </c>
      <c r="F240" s="4">
        <v>149</v>
      </c>
      <c r="G240" s="2">
        <v>45490</v>
      </c>
      <c r="H240" s="21">
        <f t="shared" si="3"/>
        <v>45474</v>
      </c>
      <c r="I240" s="26">
        <v>45490</v>
      </c>
      <c r="J240" s="3">
        <v>15.61</v>
      </c>
      <c r="K240" s="10">
        <f>Table2[[#This Row],[Order Quantity]]*Table2[[#This Row],[Price per Unit]]</f>
        <v>60566.799999999996</v>
      </c>
    </row>
    <row r="241" spans="1:11">
      <c r="A241" s="1" t="s">
        <v>260</v>
      </c>
      <c r="B241" s="1" t="s">
        <v>15</v>
      </c>
      <c r="C241" s="1" t="s">
        <v>16</v>
      </c>
      <c r="D241" s="10">
        <v>4944</v>
      </c>
      <c r="E241" s="10">
        <v>4546</v>
      </c>
      <c r="F241" s="4">
        <v>55</v>
      </c>
      <c r="G241" s="2">
        <v>45337</v>
      </c>
      <c r="H241" s="21">
        <f t="shared" si="3"/>
        <v>45323</v>
      </c>
      <c r="I241" s="26">
        <v>45342</v>
      </c>
      <c r="J241" s="3">
        <v>23.42</v>
      </c>
      <c r="K241" s="10">
        <f>Table2[[#This Row],[Order Quantity]]*Table2[[#This Row],[Price per Unit]]</f>
        <v>115788.48000000001</v>
      </c>
    </row>
    <row r="242" spans="1:11">
      <c r="A242" s="1" t="s">
        <v>261</v>
      </c>
      <c r="B242" s="1" t="s">
        <v>27</v>
      </c>
      <c r="C242" s="1" t="s">
        <v>45</v>
      </c>
      <c r="D242" s="10">
        <v>3724</v>
      </c>
      <c r="E242" s="10">
        <v>3352</v>
      </c>
      <c r="F242" s="4">
        <v>173</v>
      </c>
      <c r="G242" s="2">
        <v>45631</v>
      </c>
      <c r="H242" s="21">
        <f t="shared" si="3"/>
        <v>45627</v>
      </c>
      <c r="I242" s="26">
        <v>45632</v>
      </c>
      <c r="J242" s="3">
        <v>17.149999999999999</v>
      </c>
      <c r="K242" s="10">
        <f>Table2[[#This Row],[Order Quantity]]*Table2[[#This Row],[Price per Unit]]</f>
        <v>63866.599999999991</v>
      </c>
    </row>
    <row r="243" spans="1:11">
      <c r="A243" s="1" t="s">
        <v>262</v>
      </c>
      <c r="B243" s="1" t="s">
        <v>25</v>
      </c>
      <c r="C243" s="1" t="s">
        <v>22</v>
      </c>
      <c r="D243" s="10">
        <v>1020</v>
      </c>
      <c r="E243" s="10">
        <v>948</v>
      </c>
      <c r="F243" s="4">
        <v>42</v>
      </c>
      <c r="G243" s="2">
        <v>45408</v>
      </c>
      <c r="H243" s="21">
        <f t="shared" si="3"/>
        <v>45383</v>
      </c>
      <c r="I243" s="26">
        <v>45408</v>
      </c>
      <c r="J243" s="3">
        <v>6.28</v>
      </c>
      <c r="K243" s="10">
        <f>Table2[[#This Row],[Order Quantity]]*Table2[[#This Row],[Price per Unit]]</f>
        <v>6405.6</v>
      </c>
    </row>
    <row r="244" spans="1:11">
      <c r="A244" s="1" t="s">
        <v>263</v>
      </c>
      <c r="B244" s="1" t="s">
        <v>12</v>
      </c>
      <c r="C244" s="1" t="s">
        <v>13</v>
      </c>
      <c r="D244" s="10">
        <v>1083</v>
      </c>
      <c r="E244" s="10">
        <v>1025</v>
      </c>
      <c r="F244" s="4">
        <v>42</v>
      </c>
      <c r="G244" s="2">
        <v>45565</v>
      </c>
      <c r="H244" s="21">
        <f t="shared" si="3"/>
        <v>45566</v>
      </c>
      <c r="I244" s="26">
        <v>45568</v>
      </c>
      <c r="J244" s="3">
        <v>5.23</v>
      </c>
      <c r="K244" s="10">
        <f>Table2[[#This Row],[Order Quantity]]*Table2[[#This Row],[Price per Unit]]</f>
        <v>5664.09</v>
      </c>
    </row>
    <row r="245" spans="1:11">
      <c r="A245" s="1" t="s">
        <v>264</v>
      </c>
      <c r="B245" s="1" t="s">
        <v>27</v>
      </c>
      <c r="C245" s="1" t="s">
        <v>20</v>
      </c>
      <c r="D245" s="10">
        <v>4933</v>
      </c>
      <c r="E245" s="10">
        <v>4794</v>
      </c>
      <c r="F245" s="4">
        <v>249</v>
      </c>
      <c r="G245" s="2">
        <v>45592</v>
      </c>
      <c r="H245" s="21">
        <f t="shared" si="3"/>
        <v>45566</v>
      </c>
      <c r="I245" s="26">
        <v>45592</v>
      </c>
      <c r="J245" s="3">
        <v>10.83</v>
      </c>
      <c r="K245" s="10">
        <f>Table2[[#This Row],[Order Quantity]]*Table2[[#This Row],[Price per Unit]]</f>
        <v>53424.39</v>
      </c>
    </row>
    <row r="246" spans="1:11">
      <c r="A246" s="1" t="s">
        <v>265</v>
      </c>
      <c r="B246" s="1" t="s">
        <v>12</v>
      </c>
      <c r="C246" s="1" t="s">
        <v>16</v>
      </c>
      <c r="D246" s="10">
        <v>2543</v>
      </c>
      <c r="E246" s="10">
        <v>2586</v>
      </c>
      <c r="F246" s="4">
        <v>33</v>
      </c>
      <c r="G246" s="2">
        <v>45379</v>
      </c>
      <c r="H246" s="21">
        <f t="shared" si="3"/>
        <v>45352</v>
      </c>
      <c r="I246" s="26">
        <v>45379</v>
      </c>
      <c r="J246" s="3">
        <v>14.61</v>
      </c>
      <c r="K246" s="10">
        <f>Table2[[#This Row],[Order Quantity]]*Table2[[#This Row],[Price per Unit]]</f>
        <v>37153.229999999996</v>
      </c>
    </row>
    <row r="247" spans="1:11">
      <c r="A247" s="1" t="s">
        <v>266</v>
      </c>
      <c r="B247" s="1" t="s">
        <v>12</v>
      </c>
      <c r="C247" s="1" t="s">
        <v>20</v>
      </c>
      <c r="D247" s="10">
        <v>2948</v>
      </c>
      <c r="E247" s="10">
        <v>2698</v>
      </c>
      <c r="F247" s="4">
        <v>134</v>
      </c>
      <c r="G247" s="2">
        <v>45601</v>
      </c>
      <c r="H247" s="21">
        <f t="shared" si="3"/>
        <v>45597</v>
      </c>
      <c r="I247" s="26">
        <v>45604</v>
      </c>
      <c r="J247" s="3">
        <v>5.37</v>
      </c>
      <c r="K247" s="10">
        <f>Table2[[#This Row],[Order Quantity]]*Table2[[#This Row],[Price per Unit]]</f>
        <v>15830.76</v>
      </c>
    </row>
    <row r="248" spans="1:11">
      <c r="A248" s="1" t="s">
        <v>267</v>
      </c>
      <c r="B248" s="1" t="s">
        <v>12</v>
      </c>
      <c r="C248" s="1" t="s">
        <v>45</v>
      </c>
      <c r="D248" s="10">
        <v>3220</v>
      </c>
      <c r="E248" s="10">
        <v>3168</v>
      </c>
      <c r="F248" s="4">
        <v>33</v>
      </c>
      <c r="G248" s="2">
        <v>45293</v>
      </c>
      <c r="H248" s="21">
        <f t="shared" si="3"/>
        <v>45292</v>
      </c>
      <c r="I248" s="26">
        <v>45293</v>
      </c>
      <c r="J248" s="3">
        <v>11.53</v>
      </c>
      <c r="K248" s="10">
        <f>Table2[[#This Row],[Order Quantity]]*Table2[[#This Row],[Price per Unit]]</f>
        <v>37126.6</v>
      </c>
    </row>
    <row r="249" spans="1:11">
      <c r="A249" s="1" t="s">
        <v>268</v>
      </c>
      <c r="B249" s="1" t="s">
        <v>25</v>
      </c>
      <c r="C249" s="1" t="s">
        <v>13</v>
      </c>
      <c r="D249" s="10">
        <v>3348</v>
      </c>
      <c r="E249" s="10">
        <v>3456</v>
      </c>
      <c r="F249" s="4">
        <v>54</v>
      </c>
      <c r="G249" s="2">
        <v>45445</v>
      </c>
      <c r="H249" s="21">
        <f t="shared" si="3"/>
        <v>45444</v>
      </c>
      <c r="I249" s="26">
        <v>45448</v>
      </c>
      <c r="J249" s="3">
        <v>21.49</v>
      </c>
      <c r="K249" s="10">
        <f>Table2[[#This Row],[Order Quantity]]*Table2[[#This Row],[Price per Unit]]</f>
        <v>71948.51999999999</v>
      </c>
    </row>
    <row r="250" spans="1:11">
      <c r="A250" s="1" t="s">
        <v>269</v>
      </c>
      <c r="B250" s="1" t="s">
        <v>12</v>
      </c>
      <c r="C250" s="1" t="s">
        <v>45</v>
      </c>
      <c r="D250" s="10">
        <v>3674</v>
      </c>
      <c r="E250" s="10">
        <v>3379</v>
      </c>
      <c r="F250" s="4">
        <v>168</v>
      </c>
      <c r="G250" s="2">
        <v>45434</v>
      </c>
      <c r="H250" s="21">
        <f t="shared" si="3"/>
        <v>45413</v>
      </c>
      <c r="I250" s="26">
        <v>45434</v>
      </c>
      <c r="J250" s="3">
        <v>18.79</v>
      </c>
      <c r="K250" s="10">
        <f>Table2[[#This Row],[Order Quantity]]*Table2[[#This Row],[Price per Unit]]</f>
        <v>69034.459999999992</v>
      </c>
    </row>
    <row r="251" spans="1:11">
      <c r="A251" s="1" t="s">
        <v>270</v>
      </c>
      <c r="B251" s="1" t="s">
        <v>18</v>
      </c>
      <c r="C251" s="1" t="s">
        <v>16</v>
      </c>
      <c r="D251" s="10">
        <v>605</v>
      </c>
      <c r="E251" s="10">
        <v>559</v>
      </c>
      <c r="F251" s="4">
        <v>9</v>
      </c>
      <c r="G251" s="2">
        <v>45414</v>
      </c>
      <c r="H251" s="21">
        <f t="shared" si="3"/>
        <v>45413</v>
      </c>
      <c r="I251" s="26">
        <v>45417</v>
      </c>
      <c r="J251" s="3">
        <v>17.73</v>
      </c>
      <c r="K251" s="10">
        <f>Table2[[#This Row],[Order Quantity]]*Table2[[#This Row],[Price per Unit]]</f>
        <v>10726.65</v>
      </c>
    </row>
    <row r="252" spans="1:11">
      <c r="A252" s="1" t="s">
        <v>271</v>
      </c>
      <c r="B252" s="1" t="s">
        <v>18</v>
      </c>
      <c r="C252" s="1" t="s">
        <v>13</v>
      </c>
      <c r="D252" s="10">
        <v>2556</v>
      </c>
      <c r="E252" s="10">
        <v>2659</v>
      </c>
      <c r="F252" s="4">
        <v>36</v>
      </c>
      <c r="G252" s="2">
        <v>45495</v>
      </c>
      <c r="H252" s="21">
        <f t="shared" si="3"/>
        <v>45474</v>
      </c>
      <c r="I252" s="26">
        <v>45502</v>
      </c>
      <c r="J252" s="3">
        <v>15.83</v>
      </c>
      <c r="K252" s="10">
        <f>Table2[[#This Row],[Order Quantity]]*Table2[[#This Row],[Price per Unit]]</f>
        <v>40461.480000000003</v>
      </c>
    </row>
    <row r="253" spans="1:11">
      <c r="A253" s="1" t="s">
        <v>272</v>
      </c>
      <c r="B253" s="1" t="s">
        <v>27</v>
      </c>
      <c r="C253" s="1" t="s">
        <v>45</v>
      </c>
      <c r="D253" s="10">
        <v>4411</v>
      </c>
      <c r="E253" s="10">
        <v>4442</v>
      </c>
      <c r="F253" s="4">
        <v>293</v>
      </c>
      <c r="G253" s="2">
        <v>45542</v>
      </c>
      <c r="H253" s="21">
        <f t="shared" si="3"/>
        <v>45536</v>
      </c>
      <c r="I253" s="26">
        <v>45547</v>
      </c>
      <c r="J253" s="3">
        <v>11.79</v>
      </c>
      <c r="K253" s="10">
        <f>Table2[[#This Row],[Order Quantity]]*Table2[[#This Row],[Price per Unit]]</f>
        <v>52005.689999999995</v>
      </c>
    </row>
    <row r="254" spans="1:11">
      <c r="A254" s="1" t="s">
        <v>273</v>
      </c>
      <c r="B254" s="1" t="s">
        <v>15</v>
      </c>
      <c r="C254" s="1" t="s">
        <v>45</v>
      </c>
      <c r="D254" s="10">
        <v>2554</v>
      </c>
      <c r="E254" s="10">
        <v>2551</v>
      </c>
      <c r="F254" s="4">
        <v>124</v>
      </c>
      <c r="G254" s="2">
        <v>45313</v>
      </c>
      <c r="H254" s="21">
        <f t="shared" si="3"/>
        <v>45292</v>
      </c>
      <c r="I254" s="26">
        <v>45313</v>
      </c>
      <c r="J254" s="3">
        <v>16.95</v>
      </c>
      <c r="K254" s="10">
        <f>Table2[[#This Row],[Order Quantity]]*Table2[[#This Row],[Price per Unit]]</f>
        <v>43290.299999999996</v>
      </c>
    </row>
    <row r="255" spans="1:11">
      <c r="A255" s="1" t="s">
        <v>274</v>
      </c>
      <c r="B255" s="1" t="s">
        <v>12</v>
      </c>
      <c r="C255" s="1" t="s">
        <v>13</v>
      </c>
      <c r="D255" s="10">
        <v>1394</v>
      </c>
      <c r="E255" s="10">
        <v>1389</v>
      </c>
      <c r="F255" s="4">
        <v>65</v>
      </c>
      <c r="G255" s="2">
        <v>45303</v>
      </c>
      <c r="H255" s="21">
        <f t="shared" si="3"/>
        <v>45292</v>
      </c>
      <c r="I255" s="26">
        <v>45308</v>
      </c>
      <c r="J255" s="3">
        <v>19.63</v>
      </c>
      <c r="K255" s="10">
        <f>Table2[[#This Row],[Order Quantity]]*Table2[[#This Row],[Price per Unit]]</f>
        <v>27364.219999999998</v>
      </c>
    </row>
    <row r="256" spans="1:11">
      <c r="A256" s="1" t="s">
        <v>275</v>
      </c>
      <c r="B256" s="1" t="s">
        <v>18</v>
      </c>
      <c r="C256" s="1" t="s">
        <v>13</v>
      </c>
      <c r="D256" s="10">
        <v>4095</v>
      </c>
      <c r="E256" s="10">
        <v>3783</v>
      </c>
      <c r="F256" s="4">
        <v>268</v>
      </c>
      <c r="G256" s="2">
        <v>45346</v>
      </c>
      <c r="H256" s="21">
        <f t="shared" si="3"/>
        <v>45323</v>
      </c>
      <c r="I256" s="26">
        <v>45349</v>
      </c>
      <c r="J256" s="3">
        <v>9.3800000000000008</v>
      </c>
      <c r="K256" s="10">
        <f>Table2[[#This Row],[Order Quantity]]*Table2[[#This Row],[Price per Unit]]</f>
        <v>38411.100000000006</v>
      </c>
    </row>
    <row r="257" spans="1:11">
      <c r="A257" s="1" t="s">
        <v>276</v>
      </c>
      <c r="B257" s="1" t="s">
        <v>18</v>
      </c>
      <c r="C257" s="1" t="s">
        <v>20</v>
      </c>
      <c r="D257" s="10">
        <v>3927</v>
      </c>
      <c r="E257" s="10">
        <v>3972</v>
      </c>
      <c r="F257" s="4">
        <v>282</v>
      </c>
      <c r="G257" s="2">
        <v>45579</v>
      </c>
      <c r="H257" s="21">
        <f t="shared" si="3"/>
        <v>45566</v>
      </c>
      <c r="I257" s="26">
        <v>45579</v>
      </c>
      <c r="J257" s="3">
        <v>13.67</v>
      </c>
      <c r="K257" s="10">
        <f>Table2[[#This Row],[Order Quantity]]*Table2[[#This Row],[Price per Unit]]</f>
        <v>53682.09</v>
      </c>
    </row>
    <row r="258" spans="1:11">
      <c r="A258" s="1" t="s">
        <v>277</v>
      </c>
      <c r="B258" s="1" t="s">
        <v>18</v>
      </c>
      <c r="C258" s="1" t="s">
        <v>16</v>
      </c>
      <c r="D258" s="10">
        <v>4165</v>
      </c>
      <c r="E258" s="10">
        <v>3761</v>
      </c>
      <c r="F258" s="4">
        <v>209</v>
      </c>
      <c r="G258" s="2">
        <v>45603</v>
      </c>
      <c r="H258" s="21">
        <f t="shared" ref="H258:H321" si="4">DATE(YEAR(I258), MONTH(I258), 1)</f>
        <v>45597</v>
      </c>
      <c r="I258" s="26">
        <v>45603</v>
      </c>
      <c r="J258" s="3">
        <v>11.65</v>
      </c>
      <c r="K258" s="10">
        <f>Table2[[#This Row],[Order Quantity]]*Table2[[#This Row],[Price per Unit]]</f>
        <v>48522.25</v>
      </c>
    </row>
    <row r="259" spans="1:11">
      <c r="A259" s="1" t="s">
        <v>278</v>
      </c>
      <c r="B259" s="1" t="s">
        <v>15</v>
      </c>
      <c r="C259" s="1" t="s">
        <v>20</v>
      </c>
      <c r="D259" s="10">
        <v>1582</v>
      </c>
      <c r="E259" s="10">
        <v>1578</v>
      </c>
      <c r="F259" s="4">
        <v>37</v>
      </c>
      <c r="G259" s="2">
        <v>45384</v>
      </c>
      <c r="H259" s="21">
        <f t="shared" si="4"/>
        <v>45383</v>
      </c>
      <c r="I259" s="26">
        <v>45387</v>
      </c>
      <c r="J259" s="3">
        <v>18.600000000000001</v>
      </c>
      <c r="K259" s="10">
        <f>Table2[[#This Row],[Order Quantity]]*Table2[[#This Row],[Price per Unit]]</f>
        <v>29425.200000000001</v>
      </c>
    </row>
    <row r="260" spans="1:11">
      <c r="A260" s="1" t="s">
        <v>279</v>
      </c>
      <c r="B260" s="1" t="s">
        <v>18</v>
      </c>
      <c r="C260" s="1" t="s">
        <v>45</v>
      </c>
      <c r="D260" s="10">
        <v>852</v>
      </c>
      <c r="E260" s="10">
        <v>874</v>
      </c>
      <c r="F260" s="4">
        <v>19</v>
      </c>
      <c r="G260" s="2">
        <v>45315</v>
      </c>
      <c r="H260" s="21">
        <f t="shared" si="4"/>
        <v>45292</v>
      </c>
      <c r="I260" s="26">
        <v>45316</v>
      </c>
      <c r="J260" s="3">
        <v>24.22</v>
      </c>
      <c r="K260" s="10">
        <f>Table2[[#This Row],[Order Quantity]]*Table2[[#This Row],[Price per Unit]]</f>
        <v>20635.439999999999</v>
      </c>
    </row>
    <row r="261" spans="1:11">
      <c r="A261" s="1" t="s">
        <v>280</v>
      </c>
      <c r="B261" s="1" t="s">
        <v>15</v>
      </c>
      <c r="C261" s="1" t="s">
        <v>16</v>
      </c>
      <c r="D261" s="10">
        <v>3279</v>
      </c>
      <c r="E261" s="10">
        <v>3133</v>
      </c>
      <c r="F261" s="4">
        <v>247</v>
      </c>
      <c r="G261" s="2">
        <v>45468</v>
      </c>
      <c r="H261" s="21">
        <f t="shared" si="4"/>
        <v>45444</v>
      </c>
      <c r="I261" s="26">
        <v>45468</v>
      </c>
      <c r="J261" s="3">
        <v>5.8</v>
      </c>
      <c r="K261" s="10">
        <f>Table2[[#This Row],[Order Quantity]]*Table2[[#This Row],[Price per Unit]]</f>
        <v>19018.2</v>
      </c>
    </row>
    <row r="262" spans="1:11">
      <c r="A262" s="1" t="s">
        <v>281</v>
      </c>
      <c r="B262" s="1" t="s">
        <v>25</v>
      </c>
      <c r="C262" s="1" t="s">
        <v>22</v>
      </c>
      <c r="D262" s="10">
        <v>1773</v>
      </c>
      <c r="E262" s="10">
        <v>1788</v>
      </c>
      <c r="F262" s="4">
        <v>78</v>
      </c>
      <c r="G262" s="2">
        <v>45553</v>
      </c>
      <c r="H262" s="21">
        <f t="shared" si="4"/>
        <v>45536</v>
      </c>
      <c r="I262" s="26">
        <v>45558</v>
      </c>
      <c r="J262" s="3">
        <v>22.47</v>
      </c>
      <c r="K262" s="10">
        <f>Table2[[#This Row],[Order Quantity]]*Table2[[#This Row],[Price per Unit]]</f>
        <v>39839.31</v>
      </c>
    </row>
    <row r="263" spans="1:11">
      <c r="A263" s="1" t="s">
        <v>282</v>
      </c>
      <c r="B263" s="1" t="s">
        <v>15</v>
      </c>
      <c r="C263" s="1" t="s">
        <v>20</v>
      </c>
      <c r="D263" s="10">
        <v>4509</v>
      </c>
      <c r="E263" s="10">
        <v>4729</v>
      </c>
      <c r="F263" s="4">
        <v>141</v>
      </c>
      <c r="G263" s="2">
        <v>45422</v>
      </c>
      <c r="H263" s="21">
        <f t="shared" si="4"/>
        <v>45413</v>
      </c>
      <c r="I263" s="26">
        <v>45424</v>
      </c>
      <c r="J263" s="3">
        <v>12.18</v>
      </c>
      <c r="K263" s="10">
        <f>Table2[[#This Row],[Order Quantity]]*Table2[[#This Row],[Price per Unit]]</f>
        <v>54919.619999999995</v>
      </c>
    </row>
    <row r="264" spans="1:11">
      <c r="A264" s="1" t="s">
        <v>283</v>
      </c>
      <c r="B264" s="1" t="s">
        <v>18</v>
      </c>
      <c r="C264" s="1" t="s">
        <v>20</v>
      </c>
      <c r="D264" s="10">
        <v>1029</v>
      </c>
      <c r="E264" s="10">
        <v>1023</v>
      </c>
      <c r="F264" s="4">
        <v>62</v>
      </c>
      <c r="G264" s="2">
        <v>45299</v>
      </c>
      <c r="H264" s="21">
        <f t="shared" si="4"/>
        <v>45292</v>
      </c>
      <c r="I264" s="26">
        <v>45300</v>
      </c>
      <c r="J264" s="3">
        <v>7.63</v>
      </c>
      <c r="K264" s="10">
        <f>Table2[[#This Row],[Order Quantity]]*Table2[[#This Row],[Price per Unit]]</f>
        <v>7851.2699999999995</v>
      </c>
    </row>
    <row r="265" spans="1:11">
      <c r="A265" s="1" t="s">
        <v>284</v>
      </c>
      <c r="B265" s="1" t="s">
        <v>25</v>
      </c>
      <c r="C265" s="1" t="s">
        <v>22</v>
      </c>
      <c r="D265" s="10">
        <v>3869</v>
      </c>
      <c r="E265" s="10">
        <v>3619</v>
      </c>
      <c r="F265" s="4">
        <v>282</v>
      </c>
      <c r="G265" s="2">
        <v>45616</v>
      </c>
      <c r="H265" s="21">
        <f t="shared" si="4"/>
        <v>45597</v>
      </c>
      <c r="I265" s="26">
        <v>45619</v>
      </c>
      <c r="J265" s="3">
        <v>8.6199999999999992</v>
      </c>
      <c r="K265" s="10">
        <f>Table2[[#This Row],[Order Quantity]]*Table2[[#This Row],[Price per Unit]]</f>
        <v>33350.78</v>
      </c>
    </row>
    <row r="266" spans="1:11">
      <c r="A266" s="1" t="s">
        <v>285</v>
      </c>
      <c r="B266" s="1" t="s">
        <v>27</v>
      </c>
      <c r="C266" s="1" t="s">
        <v>13</v>
      </c>
      <c r="D266" s="10">
        <v>3552</v>
      </c>
      <c r="E266" s="10">
        <v>3429</v>
      </c>
      <c r="F266" s="4">
        <v>57</v>
      </c>
      <c r="G266" s="2">
        <v>45305</v>
      </c>
      <c r="H266" s="21">
        <f t="shared" si="4"/>
        <v>45292</v>
      </c>
      <c r="I266" s="26">
        <v>45312</v>
      </c>
      <c r="J266" s="3">
        <v>13.1</v>
      </c>
      <c r="K266" s="10">
        <f>Table2[[#This Row],[Order Quantity]]*Table2[[#This Row],[Price per Unit]]</f>
        <v>46531.199999999997</v>
      </c>
    </row>
    <row r="267" spans="1:11">
      <c r="A267" s="1" t="s">
        <v>286</v>
      </c>
      <c r="B267" s="1" t="s">
        <v>25</v>
      </c>
      <c r="C267" s="1" t="s">
        <v>13</v>
      </c>
      <c r="D267" s="10">
        <v>2778</v>
      </c>
      <c r="E267" s="10">
        <v>2649</v>
      </c>
      <c r="F267" s="4">
        <v>136</v>
      </c>
      <c r="G267" s="2">
        <v>45636</v>
      </c>
      <c r="H267" s="21">
        <f t="shared" si="4"/>
        <v>45627</v>
      </c>
      <c r="I267" s="26">
        <v>45636</v>
      </c>
      <c r="J267" s="3">
        <v>8.27</v>
      </c>
      <c r="K267" s="10">
        <f>Table2[[#This Row],[Order Quantity]]*Table2[[#This Row],[Price per Unit]]</f>
        <v>22974.059999999998</v>
      </c>
    </row>
    <row r="268" spans="1:11">
      <c r="A268" s="1" t="s">
        <v>287</v>
      </c>
      <c r="B268" s="1" t="s">
        <v>27</v>
      </c>
      <c r="C268" s="1" t="s">
        <v>45</v>
      </c>
      <c r="D268" s="10">
        <v>527</v>
      </c>
      <c r="E268" s="10">
        <v>494</v>
      </c>
      <c r="F268" s="4">
        <v>27</v>
      </c>
      <c r="G268" s="2">
        <v>45455</v>
      </c>
      <c r="H268" s="21">
        <f t="shared" si="4"/>
        <v>45444</v>
      </c>
      <c r="I268" s="26">
        <v>45457</v>
      </c>
      <c r="J268" s="3">
        <v>11.5</v>
      </c>
      <c r="K268" s="10">
        <f>Table2[[#This Row],[Order Quantity]]*Table2[[#This Row],[Price per Unit]]</f>
        <v>6060.5</v>
      </c>
    </row>
    <row r="269" spans="1:11">
      <c r="A269" s="1" t="s">
        <v>288</v>
      </c>
      <c r="B269" s="1" t="s">
        <v>27</v>
      </c>
      <c r="C269" s="1" t="s">
        <v>45</v>
      </c>
      <c r="D269" s="10">
        <v>3874</v>
      </c>
      <c r="E269" s="10">
        <v>3622</v>
      </c>
      <c r="F269" s="4">
        <v>260</v>
      </c>
      <c r="G269" s="2">
        <v>45371</v>
      </c>
      <c r="H269" s="21">
        <f t="shared" si="4"/>
        <v>45352</v>
      </c>
      <c r="I269" s="26">
        <v>45371</v>
      </c>
      <c r="J269" s="3">
        <v>13.84</v>
      </c>
      <c r="K269" s="10">
        <f>Table2[[#This Row],[Order Quantity]]*Table2[[#This Row],[Price per Unit]]</f>
        <v>53616.159999999996</v>
      </c>
    </row>
    <row r="270" spans="1:11">
      <c r="A270" s="1" t="s">
        <v>289</v>
      </c>
      <c r="B270" s="1" t="s">
        <v>25</v>
      </c>
      <c r="C270" s="1" t="s">
        <v>13</v>
      </c>
      <c r="D270" s="10">
        <v>3391</v>
      </c>
      <c r="E270" s="10">
        <v>3473</v>
      </c>
      <c r="F270" s="4">
        <v>139</v>
      </c>
      <c r="G270" s="2">
        <v>45462</v>
      </c>
      <c r="H270" s="21">
        <f t="shared" si="4"/>
        <v>45444</v>
      </c>
      <c r="I270" s="26">
        <v>45463</v>
      </c>
      <c r="J270" s="3">
        <v>9.9700000000000006</v>
      </c>
      <c r="K270" s="10">
        <f>Table2[[#This Row],[Order Quantity]]*Table2[[#This Row],[Price per Unit]]</f>
        <v>33808.270000000004</v>
      </c>
    </row>
    <row r="271" spans="1:11">
      <c r="A271" s="1" t="s">
        <v>290</v>
      </c>
      <c r="B271" s="1" t="s">
        <v>12</v>
      </c>
      <c r="C271" s="1" t="s">
        <v>13</v>
      </c>
      <c r="D271" s="10">
        <v>2860</v>
      </c>
      <c r="E271" s="10">
        <v>2645</v>
      </c>
      <c r="F271" s="4">
        <v>57</v>
      </c>
      <c r="G271" s="2">
        <v>45466</v>
      </c>
      <c r="H271" s="21">
        <f t="shared" si="4"/>
        <v>45444</v>
      </c>
      <c r="I271" s="26">
        <v>45468</v>
      </c>
      <c r="J271" s="3">
        <v>5.73</v>
      </c>
      <c r="K271" s="10">
        <f>Table2[[#This Row],[Order Quantity]]*Table2[[#This Row],[Price per Unit]]</f>
        <v>16387.800000000003</v>
      </c>
    </row>
    <row r="272" spans="1:11">
      <c r="A272" s="1" t="s">
        <v>291</v>
      </c>
      <c r="B272" s="1" t="s">
        <v>15</v>
      </c>
      <c r="C272" s="1" t="s">
        <v>22</v>
      </c>
      <c r="D272" s="10">
        <v>2712</v>
      </c>
      <c r="E272" s="10">
        <v>2758</v>
      </c>
      <c r="F272" s="4">
        <v>163</v>
      </c>
      <c r="G272" s="2">
        <v>45498</v>
      </c>
      <c r="H272" s="21">
        <f t="shared" si="4"/>
        <v>45474</v>
      </c>
      <c r="I272" s="26">
        <v>45501</v>
      </c>
      <c r="J272" s="3">
        <v>13.93</v>
      </c>
      <c r="K272" s="10">
        <f>Table2[[#This Row],[Order Quantity]]*Table2[[#This Row],[Price per Unit]]</f>
        <v>37778.159999999996</v>
      </c>
    </row>
    <row r="273" spans="1:11">
      <c r="A273" s="1" t="s">
        <v>292</v>
      </c>
      <c r="B273" s="1" t="s">
        <v>15</v>
      </c>
      <c r="C273" s="1" t="s">
        <v>13</v>
      </c>
      <c r="D273" s="10">
        <v>1119</v>
      </c>
      <c r="E273" s="10">
        <v>1097</v>
      </c>
      <c r="F273" s="4">
        <v>13</v>
      </c>
      <c r="G273" s="2">
        <v>45584</v>
      </c>
      <c r="H273" s="21">
        <f t="shared" si="4"/>
        <v>45566</v>
      </c>
      <c r="I273" s="26">
        <v>45585</v>
      </c>
      <c r="J273" s="3">
        <v>24.73</v>
      </c>
      <c r="K273" s="10">
        <f>Table2[[#This Row],[Order Quantity]]*Table2[[#This Row],[Price per Unit]]</f>
        <v>27672.87</v>
      </c>
    </row>
    <row r="274" spans="1:11">
      <c r="A274" s="1" t="s">
        <v>293</v>
      </c>
      <c r="B274" s="1" t="s">
        <v>12</v>
      </c>
      <c r="C274" s="1" t="s">
        <v>22</v>
      </c>
      <c r="D274" s="10">
        <v>781</v>
      </c>
      <c r="E274" s="10">
        <v>707</v>
      </c>
      <c r="F274" s="4">
        <v>13</v>
      </c>
      <c r="G274" s="2">
        <v>45536</v>
      </c>
      <c r="H274" s="21">
        <f t="shared" si="4"/>
        <v>45536</v>
      </c>
      <c r="I274" s="26">
        <v>45536</v>
      </c>
      <c r="J274" s="3">
        <v>14.04</v>
      </c>
      <c r="K274" s="10">
        <f>Table2[[#This Row],[Order Quantity]]*Table2[[#This Row],[Price per Unit]]</f>
        <v>10965.24</v>
      </c>
    </row>
    <row r="275" spans="1:11">
      <c r="A275" s="1" t="s">
        <v>294</v>
      </c>
      <c r="B275" s="1" t="s">
        <v>12</v>
      </c>
      <c r="C275" s="1" t="s">
        <v>45</v>
      </c>
      <c r="D275" s="10">
        <v>1508</v>
      </c>
      <c r="E275" s="10">
        <v>1489</v>
      </c>
      <c r="F275" s="4">
        <v>86</v>
      </c>
      <c r="G275" s="2">
        <v>45533</v>
      </c>
      <c r="H275" s="21">
        <f t="shared" si="4"/>
        <v>45536</v>
      </c>
      <c r="I275" s="26">
        <v>45540</v>
      </c>
      <c r="J275" s="3">
        <v>12.95</v>
      </c>
      <c r="K275" s="10">
        <f>Table2[[#This Row],[Order Quantity]]*Table2[[#This Row],[Price per Unit]]</f>
        <v>19528.599999999999</v>
      </c>
    </row>
    <row r="276" spans="1:11">
      <c r="A276" s="1" t="s">
        <v>295</v>
      </c>
      <c r="B276" s="1" t="s">
        <v>25</v>
      </c>
      <c r="C276" s="1" t="s">
        <v>22</v>
      </c>
      <c r="D276" s="10">
        <v>625</v>
      </c>
      <c r="E276" s="10">
        <v>651</v>
      </c>
      <c r="F276" s="4">
        <v>35</v>
      </c>
      <c r="G276" s="2">
        <v>45514</v>
      </c>
      <c r="H276" s="21">
        <f t="shared" si="4"/>
        <v>45505</v>
      </c>
      <c r="I276" s="26">
        <v>45521</v>
      </c>
      <c r="J276" s="3">
        <v>22.36</v>
      </c>
      <c r="K276" s="10">
        <f>Table2[[#This Row],[Order Quantity]]*Table2[[#This Row],[Price per Unit]]</f>
        <v>13975</v>
      </c>
    </row>
    <row r="277" spans="1:11">
      <c r="A277" s="1" t="s">
        <v>296</v>
      </c>
      <c r="B277" s="1" t="s">
        <v>15</v>
      </c>
      <c r="C277" s="1" t="s">
        <v>20</v>
      </c>
      <c r="D277" s="10">
        <v>3749</v>
      </c>
      <c r="E277" s="10">
        <v>3566</v>
      </c>
      <c r="F277" s="4">
        <v>168</v>
      </c>
      <c r="G277" s="2">
        <v>45417</v>
      </c>
      <c r="H277" s="21">
        <f t="shared" si="4"/>
        <v>45413</v>
      </c>
      <c r="I277" s="26">
        <v>45419</v>
      </c>
      <c r="J277" s="3">
        <v>7.51</v>
      </c>
      <c r="K277" s="10">
        <f>Table2[[#This Row],[Order Quantity]]*Table2[[#This Row],[Price per Unit]]</f>
        <v>28154.989999999998</v>
      </c>
    </row>
    <row r="278" spans="1:11">
      <c r="A278" s="1" t="s">
        <v>297</v>
      </c>
      <c r="B278" s="1" t="s">
        <v>18</v>
      </c>
      <c r="C278" s="1" t="s">
        <v>16</v>
      </c>
      <c r="D278" s="10">
        <v>4903</v>
      </c>
      <c r="E278" s="10">
        <v>4930</v>
      </c>
      <c r="F278" s="4">
        <v>118</v>
      </c>
      <c r="G278" s="2">
        <v>45632</v>
      </c>
      <c r="H278" s="21">
        <f t="shared" si="4"/>
        <v>45627</v>
      </c>
      <c r="I278" s="26">
        <v>45632</v>
      </c>
      <c r="J278" s="3">
        <v>18.47</v>
      </c>
      <c r="K278" s="10">
        <f>Table2[[#This Row],[Order Quantity]]*Table2[[#This Row],[Price per Unit]]</f>
        <v>90558.409999999989</v>
      </c>
    </row>
    <row r="279" spans="1:11">
      <c r="A279" s="1" t="s">
        <v>298</v>
      </c>
      <c r="B279" s="1" t="s">
        <v>18</v>
      </c>
      <c r="C279" s="1" t="s">
        <v>13</v>
      </c>
      <c r="D279" s="10">
        <v>1514</v>
      </c>
      <c r="E279" s="10">
        <v>1515</v>
      </c>
      <c r="F279" s="4">
        <v>62</v>
      </c>
      <c r="G279" s="2">
        <v>45377</v>
      </c>
      <c r="H279" s="21">
        <f t="shared" si="4"/>
        <v>45352</v>
      </c>
      <c r="I279" s="26">
        <v>45382</v>
      </c>
      <c r="J279" s="3">
        <v>22.36</v>
      </c>
      <c r="K279" s="10">
        <f>Table2[[#This Row],[Order Quantity]]*Table2[[#This Row],[Price per Unit]]</f>
        <v>33853.040000000001</v>
      </c>
    </row>
    <row r="280" spans="1:11">
      <c r="A280" s="1" t="s">
        <v>299</v>
      </c>
      <c r="B280" s="1" t="s">
        <v>18</v>
      </c>
      <c r="C280" s="1" t="s">
        <v>16</v>
      </c>
      <c r="D280" s="10">
        <v>4373</v>
      </c>
      <c r="E280" s="10">
        <v>4369</v>
      </c>
      <c r="F280" s="4">
        <v>342</v>
      </c>
      <c r="G280" s="2">
        <v>45405</v>
      </c>
      <c r="H280" s="21">
        <f t="shared" si="4"/>
        <v>45383</v>
      </c>
      <c r="I280" s="26">
        <v>45405</v>
      </c>
      <c r="J280" s="3">
        <v>12.49</v>
      </c>
      <c r="K280" s="10">
        <f>Table2[[#This Row],[Order Quantity]]*Table2[[#This Row],[Price per Unit]]</f>
        <v>54618.770000000004</v>
      </c>
    </row>
    <row r="281" spans="1:11">
      <c r="A281" s="1" t="s">
        <v>300</v>
      </c>
      <c r="B281" s="1" t="s">
        <v>18</v>
      </c>
      <c r="C281" s="1" t="s">
        <v>13</v>
      </c>
      <c r="D281" s="10">
        <v>4219</v>
      </c>
      <c r="E281" s="10">
        <v>4344</v>
      </c>
      <c r="F281" s="4">
        <v>277</v>
      </c>
      <c r="G281" s="2">
        <v>45636</v>
      </c>
      <c r="H281" s="21">
        <f t="shared" si="4"/>
        <v>45627</v>
      </c>
      <c r="I281" s="26">
        <v>45639</v>
      </c>
      <c r="J281" s="3">
        <v>7.26</v>
      </c>
      <c r="K281" s="10">
        <f>Table2[[#This Row],[Order Quantity]]*Table2[[#This Row],[Price per Unit]]</f>
        <v>30629.94</v>
      </c>
    </row>
    <row r="282" spans="1:11">
      <c r="A282" s="1" t="s">
        <v>301</v>
      </c>
      <c r="B282" s="1" t="s">
        <v>18</v>
      </c>
      <c r="C282" s="1" t="s">
        <v>20</v>
      </c>
      <c r="D282" s="10">
        <v>3572</v>
      </c>
      <c r="E282" s="10">
        <v>3330</v>
      </c>
      <c r="F282" s="4">
        <v>186</v>
      </c>
      <c r="G282" s="2">
        <v>45360</v>
      </c>
      <c r="H282" s="21">
        <f t="shared" si="4"/>
        <v>45352</v>
      </c>
      <c r="I282" s="26">
        <v>45360</v>
      </c>
      <c r="J282" s="3">
        <v>12.88</v>
      </c>
      <c r="K282" s="10">
        <f>Table2[[#This Row],[Order Quantity]]*Table2[[#This Row],[Price per Unit]]</f>
        <v>46007.360000000001</v>
      </c>
    </row>
    <row r="283" spans="1:11">
      <c r="A283" s="1" t="s">
        <v>302</v>
      </c>
      <c r="B283" s="1" t="s">
        <v>15</v>
      </c>
      <c r="C283" s="1" t="s">
        <v>22</v>
      </c>
      <c r="D283" s="10">
        <v>4173</v>
      </c>
      <c r="E283" s="10">
        <v>3973</v>
      </c>
      <c r="F283" s="4">
        <v>84</v>
      </c>
      <c r="G283" s="2">
        <v>45354</v>
      </c>
      <c r="H283" s="21">
        <f t="shared" si="4"/>
        <v>45352</v>
      </c>
      <c r="I283" s="26">
        <v>45354</v>
      </c>
      <c r="J283" s="3">
        <v>17.100000000000001</v>
      </c>
      <c r="K283" s="10">
        <f>Table2[[#This Row],[Order Quantity]]*Table2[[#This Row],[Price per Unit]]</f>
        <v>71358.3</v>
      </c>
    </row>
    <row r="284" spans="1:11">
      <c r="A284" s="1" t="s">
        <v>303</v>
      </c>
      <c r="B284" s="1" t="s">
        <v>12</v>
      </c>
      <c r="C284" s="1" t="s">
        <v>22</v>
      </c>
      <c r="D284" s="10">
        <v>3732</v>
      </c>
      <c r="E284" s="10">
        <v>3586</v>
      </c>
      <c r="F284" s="4">
        <v>254</v>
      </c>
      <c r="G284" s="2">
        <v>45368</v>
      </c>
      <c r="H284" s="21">
        <f t="shared" si="4"/>
        <v>45352</v>
      </c>
      <c r="I284" s="26">
        <v>45373</v>
      </c>
      <c r="J284" s="3">
        <v>20.65</v>
      </c>
      <c r="K284" s="10">
        <f>Table2[[#This Row],[Order Quantity]]*Table2[[#This Row],[Price per Unit]]</f>
        <v>77065.799999999988</v>
      </c>
    </row>
    <row r="285" spans="1:11">
      <c r="A285" s="1" t="s">
        <v>304</v>
      </c>
      <c r="B285" s="1" t="s">
        <v>25</v>
      </c>
      <c r="C285" s="1" t="s">
        <v>13</v>
      </c>
      <c r="D285" s="10">
        <v>988</v>
      </c>
      <c r="E285" s="10">
        <v>905</v>
      </c>
      <c r="F285" s="4">
        <v>50</v>
      </c>
      <c r="G285" s="2">
        <v>45423</v>
      </c>
      <c r="H285" s="21">
        <f t="shared" si="4"/>
        <v>45413</v>
      </c>
      <c r="I285" s="26">
        <v>45426</v>
      </c>
      <c r="J285" s="3">
        <v>20.3</v>
      </c>
      <c r="K285" s="10">
        <f>Table2[[#This Row],[Order Quantity]]*Table2[[#This Row],[Price per Unit]]</f>
        <v>20056.400000000001</v>
      </c>
    </row>
    <row r="286" spans="1:11">
      <c r="A286" s="1" t="s">
        <v>305</v>
      </c>
      <c r="B286" s="1" t="s">
        <v>18</v>
      </c>
      <c r="C286" s="1" t="s">
        <v>22</v>
      </c>
      <c r="D286" s="10">
        <v>4614</v>
      </c>
      <c r="E286" s="10">
        <v>4711</v>
      </c>
      <c r="F286" s="4">
        <v>298</v>
      </c>
      <c r="G286" s="2">
        <v>45630</v>
      </c>
      <c r="H286" s="21">
        <f t="shared" si="4"/>
        <v>45627</v>
      </c>
      <c r="I286" s="26">
        <v>45632</v>
      </c>
      <c r="J286" s="3">
        <v>20.96</v>
      </c>
      <c r="K286" s="10">
        <f>Table2[[#This Row],[Order Quantity]]*Table2[[#This Row],[Price per Unit]]</f>
        <v>96709.440000000002</v>
      </c>
    </row>
    <row r="287" spans="1:11">
      <c r="A287" s="1" t="s">
        <v>306</v>
      </c>
      <c r="B287" s="1" t="s">
        <v>12</v>
      </c>
      <c r="C287" s="1" t="s">
        <v>22</v>
      </c>
      <c r="D287" s="10">
        <v>4212</v>
      </c>
      <c r="E287" s="10">
        <v>3866</v>
      </c>
      <c r="F287" s="4">
        <v>186</v>
      </c>
      <c r="G287" s="2">
        <v>45434</v>
      </c>
      <c r="H287" s="21">
        <f t="shared" si="4"/>
        <v>45413</v>
      </c>
      <c r="I287" s="26">
        <v>45434</v>
      </c>
      <c r="J287" s="3">
        <v>5.12</v>
      </c>
      <c r="K287" s="10">
        <f>Table2[[#This Row],[Order Quantity]]*Table2[[#This Row],[Price per Unit]]</f>
        <v>21565.439999999999</v>
      </c>
    </row>
    <row r="288" spans="1:11">
      <c r="A288" s="1" t="s">
        <v>307</v>
      </c>
      <c r="B288" s="1" t="s">
        <v>25</v>
      </c>
      <c r="C288" s="1" t="s">
        <v>16</v>
      </c>
      <c r="D288" s="10">
        <v>3647</v>
      </c>
      <c r="E288" s="10">
        <v>3615</v>
      </c>
      <c r="F288" s="4">
        <v>178</v>
      </c>
      <c r="G288" s="2">
        <v>45384</v>
      </c>
      <c r="H288" s="21">
        <f t="shared" si="4"/>
        <v>45383</v>
      </c>
      <c r="I288" s="26">
        <v>45384</v>
      </c>
      <c r="J288" s="3">
        <v>12.61</v>
      </c>
      <c r="K288" s="10">
        <f>Table2[[#This Row],[Order Quantity]]*Table2[[#This Row],[Price per Unit]]</f>
        <v>45988.67</v>
      </c>
    </row>
    <row r="289" spans="1:11">
      <c r="A289" s="1" t="s">
        <v>308</v>
      </c>
      <c r="B289" s="1" t="s">
        <v>15</v>
      </c>
      <c r="C289" s="1" t="s">
        <v>45</v>
      </c>
      <c r="D289" s="10">
        <v>1940</v>
      </c>
      <c r="E289" s="10">
        <v>1815</v>
      </c>
      <c r="F289" s="4">
        <v>65</v>
      </c>
      <c r="G289" s="2">
        <v>45558</v>
      </c>
      <c r="H289" s="21">
        <f t="shared" si="4"/>
        <v>45536</v>
      </c>
      <c r="I289" s="26">
        <v>45558</v>
      </c>
      <c r="J289" s="3">
        <v>9.5500000000000007</v>
      </c>
      <c r="K289" s="10">
        <f>Table2[[#This Row],[Order Quantity]]*Table2[[#This Row],[Price per Unit]]</f>
        <v>18527</v>
      </c>
    </row>
    <row r="290" spans="1:11">
      <c r="A290" s="1" t="s">
        <v>309</v>
      </c>
      <c r="B290" s="1" t="s">
        <v>25</v>
      </c>
      <c r="C290" s="1" t="s">
        <v>13</v>
      </c>
      <c r="D290" s="10">
        <v>3515</v>
      </c>
      <c r="E290" s="10">
        <v>3515</v>
      </c>
      <c r="F290" s="4">
        <v>187</v>
      </c>
      <c r="G290" s="2">
        <v>45294</v>
      </c>
      <c r="H290" s="21">
        <f t="shared" si="4"/>
        <v>45292</v>
      </c>
      <c r="I290" s="26">
        <v>45296</v>
      </c>
      <c r="J290" s="3">
        <v>14.27</v>
      </c>
      <c r="K290" s="10">
        <f>Table2[[#This Row],[Order Quantity]]*Table2[[#This Row],[Price per Unit]]</f>
        <v>50159.049999999996</v>
      </c>
    </row>
    <row r="291" spans="1:11">
      <c r="A291" s="1" t="s">
        <v>310</v>
      </c>
      <c r="B291" s="1" t="s">
        <v>18</v>
      </c>
      <c r="C291" s="1" t="s">
        <v>22</v>
      </c>
      <c r="D291" s="10">
        <v>4365</v>
      </c>
      <c r="E291" s="10">
        <v>4551</v>
      </c>
      <c r="F291" s="4">
        <v>315</v>
      </c>
      <c r="G291" s="2">
        <v>45512</v>
      </c>
      <c r="H291" s="21">
        <f t="shared" si="4"/>
        <v>45505</v>
      </c>
      <c r="I291" s="26">
        <v>45512</v>
      </c>
      <c r="J291" s="3">
        <v>23.28</v>
      </c>
      <c r="K291" s="10">
        <f>Table2[[#This Row],[Order Quantity]]*Table2[[#This Row],[Price per Unit]]</f>
        <v>101617.20000000001</v>
      </c>
    </row>
    <row r="292" spans="1:11">
      <c r="A292" s="1" t="s">
        <v>311</v>
      </c>
      <c r="B292" s="1" t="s">
        <v>27</v>
      </c>
      <c r="C292" s="1" t="s">
        <v>22</v>
      </c>
      <c r="D292" s="10">
        <v>511</v>
      </c>
      <c r="E292" s="10">
        <v>471</v>
      </c>
      <c r="F292" s="4">
        <v>22</v>
      </c>
      <c r="G292" s="2">
        <v>45519</v>
      </c>
      <c r="H292" s="21">
        <f t="shared" si="4"/>
        <v>45505</v>
      </c>
      <c r="I292" s="26">
        <v>45524</v>
      </c>
      <c r="J292" s="3">
        <v>9.92</v>
      </c>
      <c r="K292" s="10">
        <f>Table2[[#This Row],[Order Quantity]]*Table2[[#This Row],[Price per Unit]]</f>
        <v>5069.12</v>
      </c>
    </row>
    <row r="293" spans="1:11">
      <c r="A293" s="1" t="s">
        <v>312</v>
      </c>
      <c r="B293" s="1" t="s">
        <v>27</v>
      </c>
      <c r="C293" s="1" t="s">
        <v>16</v>
      </c>
      <c r="D293" s="10">
        <v>542</v>
      </c>
      <c r="E293" s="10">
        <v>549</v>
      </c>
      <c r="F293" s="4">
        <v>36</v>
      </c>
      <c r="G293" s="2">
        <v>45312</v>
      </c>
      <c r="H293" s="21">
        <f t="shared" si="4"/>
        <v>45292</v>
      </c>
      <c r="I293" s="26">
        <v>45317</v>
      </c>
      <c r="J293" s="3">
        <v>19.36</v>
      </c>
      <c r="K293" s="10">
        <f>Table2[[#This Row],[Order Quantity]]*Table2[[#This Row],[Price per Unit]]</f>
        <v>10493.119999999999</v>
      </c>
    </row>
    <row r="294" spans="1:11">
      <c r="A294" s="1" t="s">
        <v>313</v>
      </c>
      <c r="B294" s="1" t="s">
        <v>18</v>
      </c>
      <c r="C294" s="1" t="s">
        <v>45</v>
      </c>
      <c r="D294" s="10">
        <v>1514</v>
      </c>
      <c r="E294" s="10">
        <v>1566</v>
      </c>
      <c r="F294" s="4">
        <v>23</v>
      </c>
      <c r="G294" s="2">
        <v>45583</v>
      </c>
      <c r="H294" s="21">
        <f t="shared" si="4"/>
        <v>45566</v>
      </c>
      <c r="I294" s="26">
        <v>45583</v>
      </c>
      <c r="J294" s="3">
        <v>24.09</v>
      </c>
      <c r="K294" s="10">
        <f>Table2[[#This Row],[Order Quantity]]*Table2[[#This Row],[Price per Unit]]</f>
        <v>36472.26</v>
      </c>
    </row>
    <row r="295" spans="1:11">
      <c r="A295" s="1" t="s">
        <v>314</v>
      </c>
      <c r="B295" s="1" t="s">
        <v>18</v>
      </c>
      <c r="C295" s="1" t="s">
        <v>45</v>
      </c>
      <c r="D295" s="10">
        <v>4646</v>
      </c>
      <c r="E295" s="10">
        <v>4223</v>
      </c>
      <c r="F295" s="4">
        <v>318</v>
      </c>
      <c r="G295" s="2">
        <v>45581</v>
      </c>
      <c r="H295" s="21">
        <f t="shared" si="4"/>
        <v>45566</v>
      </c>
      <c r="I295" s="26">
        <v>45584</v>
      </c>
      <c r="J295" s="3">
        <v>12.03</v>
      </c>
      <c r="K295" s="10">
        <f>Table2[[#This Row],[Order Quantity]]*Table2[[#This Row],[Price per Unit]]</f>
        <v>55891.38</v>
      </c>
    </row>
    <row r="296" spans="1:11">
      <c r="A296" s="1" t="s">
        <v>315</v>
      </c>
      <c r="B296" s="1" t="s">
        <v>18</v>
      </c>
      <c r="C296" s="1" t="s">
        <v>16</v>
      </c>
      <c r="D296" s="10">
        <v>1463</v>
      </c>
      <c r="E296" s="10">
        <v>1373</v>
      </c>
      <c r="F296" s="4">
        <v>41</v>
      </c>
      <c r="G296" s="2">
        <v>45530</v>
      </c>
      <c r="H296" s="21">
        <f t="shared" si="4"/>
        <v>45505</v>
      </c>
      <c r="I296" s="26">
        <v>45531</v>
      </c>
      <c r="J296" s="3">
        <v>11.15</v>
      </c>
      <c r="K296" s="10">
        <f>Table2[[#This Row],[Order Quantity]]*Table2[[#This Row],[Price per Unit]]</f>
        <v>16312.45</v>
      </c>
    </row>
    <row r="297" spans="1:11">
      <c r="A297" s="1" t="s">
        <v>316</v>
      </c>
      <c r="B297" s="1" t="s">
        <v>15</v>
      </c>
      <c r="C297" s="1" t="s">
        <v>45</v>
      </c>
      <c r="D297" s="10">
        <v>605</v>
      </c>
      <c r="E297" s="10">
        <v>599</v>
      </c>
      <c r="F297" s="4">
        <v>36</v>
      </c>
      <c r="G297" s="2">
        <v>45423</v>
      </c>
      <c r="H297" s="21">
        <f t="shared" si="4"/>
        <v>45413</v>
      </c>
      <c r="I297" s="26">
        <v>45423</v>
      </c>
      <c r="J297" s="3">
        <v>10.45</v>
      </c>
      <c r="K297" s="10">
        <f>Table2[[#This Row],[Order Quantity]]*Table2[[#This Row],[Price per Unit]]</f>
        <v>6322.25</v>
      </c>
    </row>
    <row r="298" spans="1:11">
      <c r="A298" s="1" t="s">
        <v>317</v>
      </c>
      <c r="B298" s="1" t="s">
        <v>27</v>
      </c>
      <c r="C298" s="1" t="s">
        <v>45</v>
      </c>
      <c r="D298" s="10">
        <v>3916</v>
      </c>
      <c r="E298" s="10">
        <v>3831</v>
      </c>
      <c r="F298" s="4">
        <v>71</v>
      </c>
      <c r="G298" s="2">
        <v>45330</v>
      </c>
      <c r="H298" s="21">
        <f t="shared" si="4"/>
        <v>45323</v>
      </c>
      <c r="I298" s="26">
        <v>45332</v>
      </c>
      <c r="J298" s="3">
        <v>22.19</v>
      </c>
      <c r="K298" s="10">
        <f>Table2[[#This Row],[Order Quantity]]*Table2[[#This Row],[Price per Unit]]</f>
        <v>86896.040000000008</v>
      </c>
    </row>
    <row r="299" spans="1:11">
      <c r="A299" s="1" t="s">
        <v>318</v>
      </c>
      <c r="B299" s="1" t="s">
        <v>15</v>
      </c>
      <c r="C299" s="1" t="s">
        <v>16</v>
      </c>
      <c r="D299" s="10">
        <v>4154</v>
      </c>
      <c r="E299" s="10">
        <v>3922</v>
      </c>
      <c r="F299" s="4">
        <v>257</v>
      </c>
      <c r="G299" s="2">
        <v>45327</v>
      </c>
      <c r="H299" s="21">
        <f t="shared" si="4"/>
        <v>45323</v>
      </c>
      <c r="I299" s="26">
        <v>45328</v>
      </c>
      <c r="J299" s="3">
        <v>8.6999999999999993</v>
      </c>
      <c r="K299" s="10">
        <f>Table2[[#This Row],[Order Quantity]]*Table2[[#This Row],[Price per Unit]]</f>
        <v>36139.799999999996</v>
      </c>
    </row>
    <row r="300" spans="1:11">
      <c r="A300" s="1" t="s">
        <v>319</v>
      </c>
      <c r="B300" s="1" t="s">
        <v>27</v>
      </c>
      <c r="C300" s="1" t="s">
        <v>16</v>
      </c>
      <c r="D300" s="10">
        <v>1975</v>
      </c>
      <c r="E300" s="10">
        <v>1803</v>
      </c>
      <c r="F300" s="4">
        <v>120</v>
      </c>
      <c r="G300" s="2">
        <v>45464</v>
      </c>
      <c r="H300" s="21">
        <f t="shared" si="4"/>
        <v>45444</v>
      </c>
      <c r="I300" s="26">
        <v>45464</v>
      </c>
      <c r="J300" s="3">
        <v>12.47</v>
      </c>
      <c r="K300" s="10">
        <f>Table2[[#This Row],[Order Quantity]]*Table2[[#This Row],[Price per Unit]]</f>
        <v>24628.25</v>
      </c>
    </row>
    <row r="301" spans="1:11">
      <c r="A301" s="1" t="s">
        <v>320</v>
      </c>
      <c r="B301" s="1" t="s">
        <v>27</v>
      </c>
      <c r="C301" s="1" t="s">
        <v>13</v>
      </c>
      <c r="D301" s="10">
        <v>3438</v>
      </c>
      <c r="E301" s="10">
        <v>3095</v>
      </c>
      <c r="F301" s="4">
        <v>169</v>
      </c>
      <c r="G301" s="2">
        <v>45511</v>
      </c>
      <c r="H301" s="21">
        <f t="shared" si="4"/>
        <v>45505</v>
      </c>
      <c r="I301" s="26">
        <v>45511</v>
      </c>
      <c r="J301" s="3">
        <v>15.3</v>
      </c>
      <c r="K301" s="10">
        <f>Table2[[#This Row],[Order Quantity]]*Table2[[#This Row],[Price per Unit]]</f>
        <v>52601.4</v>
      </c>
    </row>
    <row r="302" spans="1:11">
      <c r="A302" s="1" t="s">
        <v>321</v>
      </c>
      <c r="B302" s="1" t="s">
        <v>18</v>
      </c>
      <c r="C302" s="1" t="s">
        <v>22</v>
      </c>
      <c r="D302" s="10">
        <v>3597</v>
      </c>
      <c r="E302" s="10">
        <v>3351</v>
      </c>
      <c r="F302" s="4">
        <v>176</v>
      </c>
      <c r="G302" s="2">
        <v>45416</v>
      </c>
      <c r="H302" s="21">
        <f t="shared" si="4"/>
        <v>45413</v>
      </c>
      <c r="I302" s="26">
        <v>45416</v>
      </c>
      <c r="J302" s="3">
        <v>13.22</v>
      </c>
      <c r="K302" s="10">
        <f>Table2[[#This Row],[Order Quantity]]*Table2[[#This Row],[Price per Unit]]</f>
        <v>47552.340000000004</v>
      </c>
    </row>
    <row r="303" spans="1:11">
      <c r="A303" s="1" t="s">
        <v>322</v>
      </c>
      <c r="B303" s="1" t="s">
        <v>18</v>
      </c>
      <c r="C303" s="1" t="s">
        <v>22</v>
      </c>
      <c r="D303" s="10">
        <v>3131</v>
      </c>
      <c r="E303" s="10">
        <v>3179</v>
      </c>
      <c r="F303" s="4">
        <v>155</v>
      </c>
      <c r="G303" s="2">
        <v>45359</v>
      </c>
      <c r="H303" s="21">
        <f t="shared" si="4"/>
        <v>45352</v>
      </c>
      <c r="I303" s="26">
        <v>45359</v>
      </c>
      <c r="J303" s="3">
        <v>10.11</v>
      </c>
      <c r="K303" s="10">
        <f>Table2[[#This Row],[Order Quantity]]*Table2[[#This Row],[Price per Unit]]</f>
        <v>31654.41</v>
      </c>
    </row>
    <row r="304" spans="1:11">
      <c r="A304" s="1" t="s">
        <v>323</v>
      </c>
      <c r="B304" s="1" t="s">
        <v>27</v>
      </c>
      <c r="C304" s="1" t="s">
        <v>22</v>
      </c>
      <c r="D304" s="10">
        <v>4183</v>
      </c>
      <c r="E304" s="10">
        <v>4030</v>
      </c>
      <c r="F304" s="4">
        <v>228</v>
      </c>
      <c r="G304" s="2">
        <v>45455</v>
      </c>
      <c r="H304" s="21">
        <f t="shared" si="4"/>
        <v>45444</v>
      </c>
      <c r="I304" s="26">
        <v>45455</v>
      </c>
      <c r="J304" s="3">
        <v>6.91</v>
      </c>
      <c r="K304" s="10">
        <f>Table2[[#This Row],[Order Quantity]]*Table2[[#This Row],[Price per Unit]]</f>
        <v>28904.53</v>
      </c>
    </row>
    <row r="305" spans="1:11">
      <c r="A305" s="1" t="s">
        <v>324</v>
      </c>
      <c r="B305" s="1" t="s">
        <v>18</v>
      </c>
      <c r="C305" s="1" t="s">
        <v>13</v>
      </c>
      <c r="D305" s="10">
        <v>3540</v>
      </c>
      <c r="E305" s="10">
        <v>3411</v>
      </c>
      <c r="F305" s="4">
        <v>70</v>
      </c>
      <c r="G305" s="2">
        <v>45399</v>
      </c>
      <c r="H305" s="21">
        <f t="shared" si="4"/>
        <v>45383</v>
      </c>
      <c r="I305" s="26">
        <v>45399</v>
      </c>
      <c r="J305" s="3">
        <v>9.6999999999999993</v>
      </c>
      <c r="K305" s="10">
        <f>Table2[[#This Row],[Order Quantity]]*Table2[[#This Row],[Price per Unit]]</f>
        <v>34338</v>
      </c>
    </row>
    <row r="306" spans="1:11">
      <c r="A306" s="1" t="s">
        <v>325</v>
      </c>
      <c r="B306" s="1" t="s">
        <v>27</v>
      </c>
      <c r="C306" s="1" t="s">
        <v>20</v>
      </c>
      <c r="D306" s="10">
        <v>1130</v>
      </c>
      <c r="E306" s="10">
        <v>1107</v>
      </c>
      <c r="F306" s="4">
        <v>24</v>
      </c>
      <c r="G306" s="2">
        <v>45451</v>
      </c>
      <c r="H306" s="21">
        <f t="shared" si="4"/>
        <v>45444</v>
      </c>
      <c r="I306" s="26">
        <v>45451</v>
      </c>
      <c r="J306" s="3">
        <v>11.25</v>
      </c>
      <c r="K306" s="10">
        <f>Table2[[#This Row],[Order Quantity]]*Table2[[#This Row],[Price per Unit]]</f>
        <v>12712.5</v>
      </c>
    </row>
    <row r="307" spans="1:11">
      <c r="A307" s="1" t="s">
        <v>326</v>
      </c>
      <c r="B307" s="1" t="s">
        <v>18</v>
      </c>
      <c r="C307" s="1" t="s">
        <v>16</v>
      </c>
      <c r="D307" s="10">
        <v>1149</v>
      </c>
      <c r="E307" s="10">
        <v>1078</v>
      </c>
      <c r="F307" s="4">
        <v>58</v>
      </c>
      <c r="G307" s="2">
        <v>45549</v>
      </c>
      <c r="H307" s="21">
        <f t="shared" si="4"/>
        <v>45536</v>
      </c>
      <c r="I307" s="26">
        <v>45556</v>
      </c>
      <c r="J307" s="3">
        <v>6.17</v>
      </c>
      <c r="K307" s="10">
        <f>Table2[[#This Row],[Order Quantity]]*Table2[[#This Row],[Price per Unit]]</f>
        <v>7089.33</v>
      </c>
    </row>
    <row r="308" spans="1:11">
      <c r="A308" s="1" t="s">
        <v>327</v>
      </c>
      <c r="B308" s="1" t="s">
        <v>18</v>
      </c>
      <c r="C308" s="1" t="s">
        <v>22</v>
      </c>
      <c r="D308" s="10">
        <v>4858</v>
      </c>
      <c r="E308" s="10">
        <v>4878</v>
      </c>
      <c r="F308" s="4">
        <v>186</v>
      </c>
      <c r="G308" s="2">
        <v>45458</v>
      </c>
      <c r="H308" s="21">
        <f t="shared" si="4"/>
        <v>45444</v>
      </c>
      <c r="I308" s="26">
        <v>45458</v>
      </c>
      <c r="J308" s="3">
        <v>13.56</v>
      </c>
      <c r="K308" s="10">
        <f>Table2[[#This Row],[Order Quantity]]*Table2[[#This Row],[Price per Unit]]</f>
        <v>65874.48</v>
      </c>
    </row>
    <row r="309" spans="1:11">
      <c r="A309" s="1" t="s">
        <v>328</v>
      </c>
      <c r="B309" s="1" t="s">
        <v>15</v>
      </c>
      <c r="C309" s="1" t="s">
        <v>13</v>
      </c>
      <c r="D309" s="10">
        <v>3851</v>
      </c>
      <c r="E309" s="10">
        <v>3540</v>
      </c>
      <c r="F309" s="4">
        <v>61</v>
      </c>
      <c r="G309" s="2">
        <v>45333</v>
      </c>
      <c r="H309" s="21">
        <f t="shared" si="4"/>
        <v>45323</v>
      </c>
      <c r="I309" s="26">
        <v>45340</v>
      </c>
      <c r="J309" s="3">
        <v>19.489999999999998</v>
      </c>
      <c r="K309" s="10">
        <f>Table2[[#This Row],[Order Quantity]]*Table2[[#This Row],[Price per Unit]]</f>
        <v>75055.989999999991</v>
      </c>
    </row>
    <row r="310" spans="1:11">
      <c r="A310" s="1" t="s">
        <v>329</v>
      </c>
      <c r="B310" s="1" t="s">
        <v>25</v>
      </c>
      <c r="C310" s="1" t="s">
        <v>13</v>
      </c>
      <c r="D310" s="10">
        <v>1690</v>
      </c>
      <c r="E310" s="10">
        <v>1716</v>
      </c>
      <c r="F310" s="4">
        <v>48</v>
      </c>
      <c r="G310" s="2">
        <v>45455</v>
      </c>
      <c r="H310" s="21">
        <f t="shared" si="4"/>
        <v>45444</v>
      </c>
      <c r="I310" s="26">
        <v>45455</v>
      </c>
      <c r="J310" s="3">
        <v>17.91</v>
      </c>
      <c r="K310" s="10">
        <f>Table2[[#This Row],[Order Quantity]]*Table2[[#This Row],[Price per Unit]]</f>
        <v>30267.9</v>
      </c>
    </row>
    <row r="311" spans="1:11">
      <c r="A311" s="1" t="s">
        <v>330</v>
      </c>
      <c r="B311" s="1" t="s">
        <v>12</v>
      </c>
      <c r="C311" s="1" t="s">
        <v>13</v>
      </c>
      <c r="D311" s="10">
        <v>572</v>
      </c>
      <c r="E311" s="10">
        <v>542</v>
      </c>
      <c r="F311" s="4">
        <v>14</v>
      </c>
      <c r="G311" s="2">
        <v>45487</v>
      </c>
      <c r="H311" s="21">
        <f t="shared" si="4"/>
        <v>45474</v>
      </c>
      <c r="I311" s="26">
        <v>45489</v>
      </c>
      <c r="J311" s="3">
        <v>12.1</v>
      </c>
      <c r="K311" s="10">
        <f>Table2[[#This Row],[Order Quantity]]*Table2[[#This Row],[Price per Unit]]</f>
        <v>6921.2</v>
      </c>
    </row>
    <row r="312" spans="1:11">
      <c r="A312" s="1" t="s">
        <v>331</v>
      </c>
      <c r="B312" s="1" t="s">
        <v>15</v>
      </c>
      <c r="C312" s="1" t="s">
        <v>20</v>
      </c>
      <c r="D312" s="10">
        <v>4213</v>
      </c>
      <c r="E312" s="10">
        <v>4214</v>
      </c>
      <c r="F312" s="4">
        <v>62</v>
      </c>
      <c r="G312" s="2">
        <v>45555</v>
      </c>
      <c r="H312" s="21">
        <f t="shared" si="4"/>
        <v>45536</v>
      </c>
      <c r="I312" s="26">
        <v>45558</v>
      </c>
      <c r="J312" s="3">
        <v>17.8</v>
      </c>
      <c r="K312" s="10">
        <f>Table2[[#This Row],[Order Quantity]]*Table2[[#This Row],[Price per Unit]]</f>
        <v>74991.400000000009</v>
      </c>
    </row>
    <row r="313" spans="1:11">
      <c r="A313" s="1" t="s">
        <v>332</v>
      </c>
      <c r="B313" s="1" t="s">
        <v>27</v>
      </c>
      <c r="C313" s="1" t="s">
        <v>16</v>
      </c>
      <c r="D313" s="10">
        <v>2235</v>
      </c>
      <c r="E313" s="10">
        <v>2229</v>
      </c>
      <c r="F313" s="4">
        <v>105</v>
      </c>
      <c r="G313" s="2">
        <v>45550</v>
      </c>
      <c r="H313" s="21">
        <f t="shared" si="4"/>
        <v>45536</v>
      </c>
      <c r="I313" s="26">
        <v>45553</v>
      </c>
      <c r="J313" s="3">
        <v>11.49</v>
      </c>
      <c r="K313" s="10">
        <f>Table2[[#This Row],[Order Quantity]]*Table2[[#This Row],[Price per Unit]]</f>
        <v>25680.15</v>
      </c>
    </row>
    <row r="314" spans="1:11">
      <c r="A314" s="1" t="s">
        <v>333</v>
      </c>
      <c r="B314" s="1" t="s">
        <v>12</v>
      </c>
      <c r="C314" s="1" t="s">
        <v>13</v>
      </c>
      <c r="D314" s="10">
        <v>3274</v>
      </c>
      <c r="E314" s="10">
        <v>3132</v>
      </c>
      <c r="F314" s="4">
        <v>110</v>
      </c>
      <c r="G314" s="2">
        <v>45577</v>
      </c>
      <c r="H314" s="21">
        <f t="shared" si="4"/>
        <v>45566</v>
      </c>
      <c r="I314" s="26">
        <v>45578</v>
      </c>
      <c r="J314" s="3">
        <v>24.91</v>
      </c>
      <c r="K314" s="10">
        <f>Table2[[#This Row],[Order Quantity]]*Table2[[#This Row],[Price per Unit]]</f>
        <v>81555.34</v>
      </c>
    </row>
    <row r="315" spans="1:11">
      <c r="A315" s="1" t="s">
        <v>334</v>
      </c>
      <c r="B315" s="1" t="s">
        <v>15</v>
      </c>
      <c r="C315" s="1" t="s">
        <v>22</v>
      </c>
      <c r="D315" s="10">
        <v>1161</v>
      </c>
      <c r="E315" s="10">
        <v>1142</v>
      </c>
      <c r="F315" s="4">
        <v>87</v>
      </c>
      <c r="G315" s="2">
        <v>45578</v>
      </c>
      <c r="H315" s="21">
        <f t="shared" si="4"/>
        <v>45566</v>
      </c>
      <c r="I315" s="26">
        <v>45583</v>
      </c>
      <c r="J315" s="3">
        <v>8.51</v>
      </c>
      <c r="K315" s="10">
        <f>Table2[[#This Row],[Order Quantity]]*Table2[[#This Row],[Price per Unit]]</f>
        <v>9880.11</v>
      </c>
    </row>
    <row r="316" spans="1:11">
      <c r="A316" s="1" t="s">
        <v>335</v>
      </c>
      <c r="B316" s="1" t="s">
        <v>12</v>
      </c>
      <c r="C316" s="1" t="s">
        <v>20</v>
      </c>
      <c r="D316" s="10">
        <v>1516</v>
      </c>
      <c r="E316" s="10">
        <v>1403</v>
      </c>
      <c r="F316" s="4">
        <v>54</v>
      </c>
      <c r="G316" s="2">
        <v>45346</v>
      </c>
      <c r="H316" s="21">
        <f t="shared" si="4"/>
        <v>45352</v>
      </c>
      <c r="I316" s="26">
        <v>45353</v>
      </c>
      <c r="J316" s="3">
        <v>13.45</v>
      </c>
      <c r="K316" s="10">
        <f>Table2[[#This Row],[Order Quantity]]*Table2[[#This Row],[Price per Unit]]</f>
        <v>20390.2</v>
      </c>
    </row>
    <row r="317" spans="1:11">
      <c r="A317" s="1" t="s">
        <v>336</v>
      </c>
      <c r="B317" s="1" t="s">
        <v>12</v>
      </c>
      <c r="C317" s="1" t="s">
        <v>22</v>
      </c>
      <c r="D317" s="10">
        <v>3583</v>
      </c>
      <c r="E317" s="10">
        <v>3411</v>
      </c>
      <c r="F317" s="4">
        <v>192</v>
      </c>
      <c r="G317" s="2">
        <v>45435</v>
      </c>
      <c r="H317" s="21">
        <f t="shared" si="4"/>
        <v>45413</v>
      </c>
      <c r="I317" s="26">
        <v>45438</v>
      </c>
      <c r="J317" s="3">
        <v>20.91</v>
      </c>
      <c r="K317" s="10">
        <f>Table2[[#This Row],[Order Quantity]]*Table2[[#This Row],[Price per Unit]]</f>
        <v>74920.53</v>
      </c>
    </row>
    <row r="318" spans="1:11">
      <c r="A318" s="1" t="s">
        <v>337</v>
      </c>
      <c r="B318" s="1" t="s">
        <v>25</v>
      </c>
      <c r="C318" s="1" t="s">
        <v>22</v>
      </c>
      <c r="D318" s="10">
        <v>736</v>
      </c>
      <c r="E318" s="10">
        <v>675</v>
      </c>
      <c r="F318" s="4">
        <v>52</v>
      </c>
      <c r="G318" s="2">
        <v>45651</v>
      </c>
      <c r="H318" s="21">
        <f t="shared" si="4"/>
        <v>45658</v>
      </c>
      <c r="I318" s="26">
        <v>45658</v>
      </c>
      <c r="J318" s="3">
        <v>5.4</v>
      </c>
      <c r="K318" s="10">
        <f>Table2[[#This Row],[Order Quantity]]*Table2[[#This Row],[Price per Unit]]</f>
        <v>3974.4</v>
      </c>
    </row>
    <row r="319" spans="1:11">
      <c r="A319" s="1" t="s">
        <v>338</v>
      </c>
      <c r="B319" s="1" t="s">
        <v>15</v>
      </c>
      <c r="C319" s="1" t="s">
        <v>22</v>
      </c>
      <c r="D319" s="10">
        <v>863</v>
      </c>
      <c r="E319" s="10">
        <v>808</v>
      </c>
      <c r="F319" s="4">
        <v>46</v>
      </c>
      <c r="G319" s="2">
        <v>45522</v>
      </c>
      <c r="H319" s="21">
        <f t="shared" si="4"/>
        <v>45505</v>
      </c>
      <c r="I319" s="26">
        <v>45529</v>
      </c>
      <c r="J319" s="3">
        <v>6.86</v>
      </c>
      <c r="K319" s="10">
        <f>Table2[[#This Row],[Order Quantity]]*Table2[[#This Row],[Price per Unit]]</f>
        <v>5920.18</v>
      </c>
    </row>
    <row r="320" spans="1:11">
      <c r="A320" s="1" t="s">
        <v>339</v>
      </c>
      <c r="B320" s="1" t="s">
        <v>27</v>
      </c>
      <c r="C320" s="1" t="s">
        <v>16</v>
      </c>
      <c r="D320" s="10">
        <v>1512</v>
      </c>
      <c r="E320" s="10">
        <v>1548</v>
      </c>
      <c r="F320" s="4">
        <v>100</v>
      </c>
      <c r="G320" s="2">
        <v>45433</v>
      </c>
      <c r="H320" s="21">
        <f t="shared" si="4"/>
        <v>45413</v>
      </c>
      <c r="I320" s="26">
        <v>45434</v>
      </c>
      <c r="J320" s="3">
        <v>19.170000000000002</v>
      </c>
      <c r="K320" s="10">
        <f>Table2[[#This Row],[Order Quantity]]*Table2[[#This Row],[Price per Unit]]</f>
        <v>28985.040000000001</v>
      </c>
    </row>
    <row r="321" spans="1:11">
      <c r="A321" s="1" t="s">
        <v>340</v>
      </c>
      <c r="B321" s="1" t="s">
        <v>12</v>
      </c>
      <c r="C321" s="1" t="s">
        <v>45</v>
      </c>
      <c r="D321" s="10">
        <v>2101</v>
      </c>
      <c r="E321" s="10">
        <v>2010</v>
      </c>
      <c r="F321" s="4">
        <v>68</v>
      </c>
      <c r="G321" s="2">
        <v>45622</v>
      </c>
      <c r="H321" s="21">
        <f t="shared" si="4"/>
        <v>45597</v>
      </c>
      <c r="I321" s="26">
        <v>45622</v>
      </c>
      <c r="J321" s="3">
        <v>9.7799999999999994</v>
      </c>
      <c r="K321" s="10">
        <f>Table2[[#This Row],[Order Quantity]]*Table2[[#This Row],[Price per Unit]]</f>
        <v>20547.78</v>
      </c>
    </row>
    <row r="322" spans="1:11">
      <c r="A322" s="1" t="s">
        <v>341</v>
      </c>
      <c r="B322" s="1" t="s">
        <v>15</v>
      </c>
      <c r="C322" s="1" t="s">
        <v>13</v>
      </c>
      <c r="D322" s="10">
        <v>2225</v>
      </c>
      <c r="E322" s="10">
        <v>2151</v>
      </c>
      <c r="F322" s="4">
        <v>111</v>
      </c>
      <c r="G322" s="2">
        <v>45434</v>
      </c>
      <c r="H322" s="21">
        <f t="shared" ref="H322:H385" si="5">DATE(YEAR(I322), MONTH(I322), 1)</f>
        <v>45413</v>
      </c>
      <c r="I322" s="26">
        <v>45437</v>
      </c>
      <c r="J322" s="3">
        <v>15.31</v>
      </c>
      <c r="K322" s="10">
        <f>Table2[[#This Row],[Order Quantity]]*Table2[[#This Row],[Price per Unit]]</f>
        <v>34064.75</v>
      </c>
    </row>
    <row r="323" spans="1:11">
      <c r="A323" s="1" t="s">
        <v>342</v>
      </c>
      <c r="B323" s="1" t="s">
        <v>12</v>
      </c>
      <c r="C323" s="1" t="s">
        <v>16</v>
      </c>
      <c r="D323" s="10">
        <v>743</v>
      </c>
      <c r="E323" s="10">
        <v>691</v>
      </c>
      <c r="F323" s="4">
        <v>51</v>
      </c>
      <c r="G323" s="2">
        <v>45373</v>
      </c>
      <c r="H323" s="21">
        <f t="shared" si="5"/>
        <v>45352</v>
      </c>
      <c r="I323" s="26">
        <v>45375</v>
      </c>
      <c r="J323" s="3">
        <v>7.33</v>
      </c>
      <c r="K323" s="10">
        <f>Table2[[#This Row],[Order Quantity]]*Table2[[#This Row],[Price per Unit]]</f>
        <v>5446.19</v>
      </c>
    </row>
    <row r="324" spans="1:11">
      <c r="A324" s="1" t="s">
        <v>343</v>
      </c>
      <c r="B324" s="1" t="s">
        <v>27</v>
      </c>
      <c r="C324" s="1" t="s">
        <v>20</v>
      </c>
      <c r="D324" s="10">
        <v>2326</v>
      </c>
      <c r="E324" s="10">
        <v>2328</v>
      </c>
      <c r="F324" s="4">
        <v>110</v>
      </c>
      <c r="G324" s="2">
        <v>45358</v>
      </c>
      <c r="H324" s="21">
        <f t="shared" si="5"/>
        <v>45352</v>
      </c>
      <c r="I324" s="26">
        <v>45365</v>
      </c>
      <c r="J324" s="3">
        <v>19.43</v>
      </c>
      <c r="K324" s="10">
        <f>Table2[[#This Row],[Order Quantity]]*Table2[[#This Row],[Price per Unit]]</f>
        <v>45194.18</v>
      </c>
    </row>
    <row r="325" spans="1:11">
      <c r="A325" s="1" t="s">
        <v>344</v>
      </c>
      <c r="B325" s="1" t="s">
        <v>15</v>
      </c>
      <c r="C325" s="1" t="s">
        <v>16</v>
      </c>
      <c r="D325" s="10">
        <v>572</v>
      </c>
      <c r="E325" s="10">
        <v>542</v>
      </c>
      <c r="F325" s="4">
        <v>6</v>
      </c>
      <c r="G325" s="2">
        <v>45497</v>
      </c>
      <c r="H325" s="21">
        <f t="shared" si="5"/>
        <v>45474</v>
      </c>
      <c r="I325" s="26">
        <v>45498</v>
      </c>
      <c r="J325" s="3">
        <v>8.08</v>
      </c>
      <c r="K325" s="10">
        <f>Table2[[#This Row],[Order Quantity]]*Table2[[#This Row],[Price per Unit]]</f>
        <v>4621.76</v>
      </c>
    </row>
    <row r="326" spans="1:11">
      <c r="A326" s="1" t="s">
        <v>345</v>
      </c>
      <c r="B326" s="1" t="s">
        <v>27</v>
      </c>
      <c r="C326" s="1" t="s">
        <v>16</v>
      </c>
      <c r="D326" s="10">
        <v>4861</v>
      </c>
      <c r="E326" s="10">
        <v>4974</v>
      </c>
      <c r="F326" s="4">
        <v>95</v>
      </c>
      <c r="G326" s="2">
        <v>45455</v>
      </c>
      <c r="H326" s="21">
        <f t="shared" si="5"/>
        <v>45444</v>
      </c>
      <c r="I326" s="26">
        <v>45460</v>
      </c>
      <c r="J326" s="3">
        <v>22.24</v>
      </c>
      <c r="K326" s="10">
        <f>Table2[[#This Row],[Order Quantity]]*Table2[[#This Row],[Price per Unit]]</f>
        <v>108108.64</v>
      </c>
    </row>
    <row r="327" spans="1:11">
      <c r="A327" s="1" t="s">
        <v>346</v>
      </c>
      <c r="B327" s="1" t="s">
        <v>27</v>
      </c>
      <c r="C327" s="1" t="s">
        <v>45</v>
      </c>
      <c r="D327" s="10">
        <v>1633</v>
      </c>
      <c r="E327" s="10">
        <v>1689</v>
      </c>
      <c r="F327" s="4">
        <v>114</v>
      </c>
      <c r="G327" s="2">
        <v>45316</v>
      </c>
      <c r="H327" s="21">
        <f t="shared" si="5"/>
        <v>45292</v>
      </c>
      <c r="I327" s="26">
        <v>45318</v>
      </c>
      <c r="J327" s="3">
        <v>11.35</v>
      </c>
      <c r="K327" s="10">
        <f>Table2[[#This Row],[Order Quantity]]*Table2[[#This Row],[Price per Unit]]</f>
        <v>18534.55</v>
      </c>
    </row>
    <row r="328" spans="1:11">
      <c r="A328" s="1" t="s">
        <v>347</v>
      </c>
      <c r="B328" s="1" t="s">
        <v>18</v>
      </c>
      <c r="C328" s="1" t="s">
        <v>22</v>
      </c>
      <c r="D328" s="10">
        <v>3029</v>
      </c>
      <c r="E328" s="10">
        <v>2757</v>
      </c>
      <c r="F328" s="4">
        <v>32</v>
      </c>
      <c r="G328" s="2">
        <v>45359</v>
      </c>
      <c r="H328" s="21">
        <f t="shared" si="5"/>
        <v>45352</v>
      </c>
      <c r="I328" s="26">
        <v>45361</v>
      </c>
      <c r="J328" s="3">
        <v>7.7</v>
      </c>
      <c r="K328" s="10">
        <f>Table2[[#This Row],[Order Quantity]]*Table2[[#This Row],[Price per Unit]]</f>
        <v>23323.3</v>
      </c>
    </row>
    <row r="329" spans="1:11">
      <c r="A329" s="1" t="s">
        <v>348</v>
      </c>
      <c r="B329" s="1" t="s">
        <v>18</v>
      </c>
      <c r="C329" s="1" t="s">
        <v>45</v>
      </c>
      <c r="D329" s="10">
        <v>4723</v>
      </c>
      <c r="E329" s="10">
        <v>4557</v>
      </c>
      <c r="F329" s="4">
        <v>145</v>
      </c>
      <c r="G329" s="2">
        <v>45437</v>
      </c>
      <c r="H329" s="21">
        <f t="shared" si="5"/>
        <v>45413</v>
      </c>
      <c r="I329" s="26">
        <v>45439</v>
      </c>
      <c r="J329" s="3">
        <v>15.12</v>
      </c>
      <c r="K329" s="10">
        <f>Table2[[#This Row],[Order Quantity]]*Table2[[#This Row],[Price per Unit]]</f>
        <v>71411.759999999995</v>
      </c>
    </row>
    <row r="330" spans="1:11">
      <c r="A330" s="1" t="s">
        <v>349</v>
      </c>
      <c r="B330" s="1" t="s">
        <v>18</v>
      </c>
      <c r="C330" s="1" t="s">
        <v>22</v>
      </c>
      <c r="D330" s="10">
        <v>2994</v>
      </c>
      <c r="E330" s="10">
        <v>2982</v>
      </c>
      <c r="F330" s="4">
        <v>74</v>
      </c>
      <c r="G330" s="2">
        <v>45351</v>
      </c>
      <c r="H330" s="21">
        <f t="shared" si="5"/>
        <v>45352</v>
      </c>
      <c r="I330" s="26">
        <v>45356</v>
      </c>
      <c r="J330" s="3">
        <v>17.39</v>
      </c>
      <c r="K330" s="10">
        <f>Table2[[#This Row],[Order Quantity]]*Table2[[#This Row],[Price per Unit]]</f>
        <v>52065.66</v>
      </c>
    </row>
    <row r="331" spans="1:11">
      <c r="A331" s="1" t="s">
        <v>350</v>
      </c>
      <c r="B331" s="1" t="s">
        <v>12</v>
      </c>
      <c r="C331" s="1" t="s">
        <v>45</v>
      </c>
      <c r="D331" s="10">
        <v>2453</v>
      </c>
      <c r="E331" s="10">
        <v>2376</v>
      </c>
      <c r="F331" s="4">
        <v>33</v>
      </c>
      <c r="G331" s="2">
        <v>45544</v>
      </c>
      <c r="H331" s="21">
        <f t="shared" si="5"/>
        <v>45536</v>
      </c>
      <c r="I331" s="26">
        <v>45549</v>
      </c>
      <c r="J331" s="3">
        <v>24.9</v>
      </c>
      <c r="K331" s="10">
        <f>Table2[[#This Row],[Order Quantity]]*Table2[[#This Row],[Price per Unit]]</f>
        <v>61079.7</v>
      </c>
    </row>
    <row r="332" spans="1:11">
      <c r="A332" s="1" t="s">
        <v>351</v>
      </c>
      <c r="B332" s="1" t="s">
        <v>25</v>
      </c>
      <c r="C332" s="1" t="s">
        <v>13</v>
      </c>
      <c r="D332" s="10">
        <v>956</v>
      </c>
      <c r="E332" s="10">
        <v>922</v>
      </c>
      <c r="F332" s="4">
        <v>20</v>
      </c>
      <c r="G332" s="2">
        <v>45447</v>
      </c>
      <c r="H332" s="21">
        <f t="shared" si="5"/>
        <v>45444</v>
      </c>
      <c r="I332" s="26">
        <v>45450</v>
      </c>
      <c r="J332" s="3">
        <v>6.49</v>
      </c>
      <c r="K332" s="10">
        <f>Table2[[#This Row],[Order Quantity]]*Table2[[#This Row],[Price per Unit]]</f>
        <v>6204.4400000000005</v>
      </c>
    </row>
    <row r="333" spans="1:11">
      <c r="A333" s="1" t="s">
        <v>352</v>
      </c>
      <c r="B333" s="1" t="s">
        <v>27</v>
      </c>
      <c r="C333" s="1" t="s">
        <v>45</v>
      </c>
      <c r="D333" s="10">
        <v>4065</v>
      </c>
      <c r="E333" s="10">
        <v>3720</v>
      </c>
      <c r="F333" s="4">
        <v>217</v>
      </c>
      <c r="G333" s="2">
        <v>45551</v>
      </c>
      <c r="H333" s="21">
        <f t="shared" si="5"/>
        <v>45536</v>
      </c>
      <c r="I333" s="26">
        <v>45552</v>
      </c>
      <c r="J333" s="3">
        <v>6.25</v>
      </c>
      <c r="K333" s="10">
        <f>Table2[[#This Row],[Order Quantity]]*Table2[[#This Row],[Price per Unit]]</f>
        <v>25406.25</v>
      </c>
    </row>
    <row r="334" spans="1:11">
      <c r="A334" s="1" t="s">
        <v>353</v>
      </c>
      <c r="B334" s="1" t="s">
        <v>12</v>
      </c>
      <c r="C334" s="1" t="s">
        <v>45</v>
      </c>
      <c r="D334" s="10">
        <v>2138</v>
      </c>
      <c r="E334" s="10">
        <v>1997</v>
      </c>
      <c r="F334" s="4">
        <v>52</v>
      </c>
      <c r="G334" s="2">
        <v>45512</v>
      </c>
      <c r="H334" s="21">
        <f t="shared" si="5"/>
        <v>45505</v>
      </c>
      <c r="I334" s="26">
        <v>45513</v>
      </c>
      <c r="J334" s="3">
        <v>9.42</v>
      </c>
      <c r="K334" s="10">
        <f>Table2[[#This Row],[Order Quantity]]*Table2[[#This Row],[Price per Unit]]</f>
        <v>20139.96</v>
      </c>
    </row>
    <row r="335" spans="1:11">
      <c r="A335" s="1" t="s">
        <v>354</v>
      </c>
      <c r="B335" s="1" t="s">
        <v>18</v>
      </c>
      <c r="C335" s="1" t="s">
        <v>16</v>
      </c>
      <c r="D335" s="10">
        <v>919</v>
      </c>
      <c r="E335" s="10">
        <v>899</v>
      </c>
      <c r="F335" s="4">
        <v>35</v>
      </c>
      <c r="G335" s="2">
        <v>45407</v>
      </c>
      <c r="H335" s="21">
        <f t="shared" si="5"/>
        <v>45383</v>
      </c>
      <c r="I335" s="26">
        <v>45412</v>
      </c>
      <c r="J335" s="3">
        <v>7.61</v>
      </c>
      <c r="K335" s="10">
        <f>Table2[[#This Row],[Order Quantity]]*Table2[[#This Row],[Price per Unit]]</f>
        <v>6993.59</v>
      </c>
    </row>
    <row r="336" spans="1:11">
      <c r="A336" s="1" t="s">
        <v>355</v>
      </c>
      <c r="B336" s="1" t="s">
        <v>15</v>
      </c>
      <c r="C336" s="1" t="s">
        <v>22</v>
      </c>
      <c r="D336" s="10">
        <v>1267</v>
      </c>
      <c r="E336" s="10">
        <v>1177</v>
      </c>
      <c r="F336" s="4">
        <v>42</v>
      </c>
      <c r="G336" s="2">
        <v>45305</v>
      </c>
      <c r="H336" s="21">
        <f t="shared" si="5"/>
        <v>45292</v>
      </c>
      <c r="I336" s="26">
        <v>45310</v>
      </c>
      <c r="J336" s="3">
        <v>13.28</v>
      </c>
      <c r="K336" s="10">
        <f>Table2[[#This Row],[Order Quantity]]*Table2[[#This Row],[Price per Unit]]</f>
        <v>16825.759999999998</v>
      </c>
    </row>
    <row r="337" spans="1:11">
      <c r="A337" s="1" t="s">
        <v>356</v>
      </c>
      <c r="B337" s="1" t="s">
        <v>18</v>
      </c>
      <c r="C337" s="1" t="s">
        <v>16</v>
      </c>
      <c r="D337" s="10">
        <v>2264</v>
      </c>
      <c r="E337" s="10">
        <v>2169</v>
      </c>
      <c r="F337" s="4">
        <v>168</v>
      </c>
      <c r="G337" s="2">
        <v>45353</v>
      </c>
      <c r="H337" s="21">
        <f t="shared" si="5"/>
        <v>45352</v>
      </c>
      <c r="I337" s="26">
        <v>45353</v>
      </c>
      <c r="J337" s="3">
        <v>9.9700000000000006</v>
      </c>
      <c r="K337" s="10">
        <f>Table2[[#This Row],[Order Quantity]]*Table2[[#This Row],[Price per Unit]]</f>
        <v>22572.080000000002</v>
      </c>
    </row>
    <row r="338" spans="1:11">
      <c r="A338" s="1" t="s">
        <v>357</v>
      </c>
      <c r="B338" s="1" t="s">
        <v>18</v>
      </c>
      <c r="C338" s="1" t="s">
        <v>45</v>
      </c>
      <c r="D338" s="10">
        <v>2793</v>
      </c>
      <c r="E338" s="10">
        <v>2844</v>
      </c>
      <c r="F338" s="4">
        <v>144</v>
      </c>
      <c r="G338" s="2">
        <v>45356</v>
      </c>
      <c r="H338" s="21">
        <f t="shared" si="5"/>
        <v>45352</v>
      </c>
      <c r="I338" s="26">
        <v>45358</v>
      </c>
      <c r="J338" s="3">
        <v>18.62</v>
      </c>
      <c r="K338" s="10">
        <f>Table2[[#This Row],[Order Quantity]]*Table2[[#This Row],[Price per Unit]]</f>
        <v>52005.66</v>
      </c>
    </row>
    <row r="339" spans="1:11">
      <c r="A339" s="1" t="s">
        <v>358</v>
      </c>
      <c r="B339" s="1" t="s">
        <v>12</v>
      </c>
      <c r="C339" s="1" t="s">
        <v>45</v>
      </c>
      <c r="D339" s="10">
        <v>2509</v>
      </c>
      <c r="E339" s="10">
        <v>2348</v>
      </c>
      <c r="F339" s="4">
        <v>183</v>
      </c>
      <c r="G339" s="2">
        <v>45464</v>
      </c>
      <c r="H339" s="21">
        <f t="shared" si="5"/>
        <v>45444</v>
      </c>
      <c r="I339" s="26">
        <v>45471</v>
      </c>
      <c r="J339" s="3">
        <v>21.03</v>
      </c>
      <c r="K339" s="10">
        <f>Table2[[#This Row],[Order Quantity]]*Table2[[#This Row],[Price per Unit]]</f>
        <v>52764.270000000004</v>
      </c>
    </row>
    <row r="340" spans="1:11">
      <c r="A340" s="1" t="s">
        <v>359</v>
      </c>
      <c r="B340" s="1" t="s">
        <v>12</v>
      </c>
      <c r="C340" s="1" t="s">
        <v>45</v>
      </c>
      <c r="D340" s="10">
        <v>663</v>
      </c>
      <c r="E340" s="10">
        <v>633</v>
      </c>
      <c r="F340" s="4">
        <v>18</v>
      </c>
      <c r="G340" s="2">
        <v>45599</v>
      </c>
      <c r="H340" s="21">
        <f t="shared" si="5"/>
        <v>45597</v>
      </c>
      <c r="I340" s="26">
        <v>45606</v>
      </c>
      <c r="J340" s="3">
        <v>17.920000000000002</v>
      </c>
      <c r="K340" s="10">
        <f>Table2[[#This Row],[Order Quantity]]*Table2[[#This Row],[Price per Unit]]</f>
        <v>11880.960000000001</v>
      </c>
    </row>
    <row r="341" spans="1:11">
      <c r="A341" s="1" t="s">
        <v>360</v>
      </c>
      <c r="B341" s="1" t="s">
        <v>25</v>
      </c>
      <c r="C341" s="1" t="s">
        <v>13</v>
      </c>
      <c r="D341" s="10">
        <v>4778</v>
      </c>
      <c r="E341" s="10">
        <v>4407</v>
      </c>
      <c r="F341" s="4">
        <v>83</v>
      </c>
      <c r="G341" s="2">
        <v>45403</v>
      </c>
      <c r="H341" s="21">
        <f t="shared" si="5"/>
        <v>45383</v>
      </c>
      <c r="I341" s="26">
        <v>45404</v>
      </c>
      <c r="J341" s="3">
        <v>22.29</v>
      </c>
      <c r="K341" s="10">
        <f>Table2[[#This Row],[Order Quantity]]*Table2[[#This Row],[Price per Unit]]</f>
        <v>106501.62</v>
      </c>
    </row>
    <row r="342" spans="1:11">
      <c r="A342" s="1" t="s">
        <v>361</v>
      </c>
      <c r="B342" s="1" t="s">
        <v>25</v>
      </c>
      <c r="C342" s="1" t="s">
        <v>20</v>
      </c>
      <c r="D342" s="10">
        <v>1093</v>
      </c>
      <c r="E342" s="10">
        <v>1061</v>
      </c>
      <c r="F342" s="4">
        <v>38</v>
      </c>
      <c r="G342" s="2">
        <v>45333</v>
      </c>
      <c r="H342" s="21">
        <f t="shared" si="5"/>
        <v>45323</v>
      </c>
      <c r="I342" s="26">
        <v>45335</v>
      </c>
      <c r="J342" s="3">
        <v>12.89</v>
      </c>
      <c r="K342" s="10">
        <f>Table2[[#This Row],[Order Quantity]]*Table2[[#This Row],[Price per Unit]]</f>
        <v>14088.77</v>
      </c>
    </row>
    <row r="343" spans="1:11">
      <c r="A343" s="1" t="s">
        <v>362</v>
      </c>
      <c r="B343" s="1" t="s">
        <v>12</v>
      </c>
      <c r="C343" s="1" t="s">
        <v>13</v>
      </c>
      <c r="D343" s="10">
        <v>2944</v>
      </c>
      <c r="E343" s="10">
        <v>2708</v>
      </c>
      <c r="F343" s="4">
        <v>46</v>
      </c>
      <c r="G343" s="2">
        <v>45420</v>
      </c>
      <c r="H343" s="21">
        <f t="shared" si="5"/>
        <v>45413</v>
      </c>
      <c r="I343" s="26">
        <v>45420</v>
      </c>
      <c r="J343" s="3">
        <v>18.170000000000002</v>
      </c>
      <c r="K343" s="10">
        <f>Table2[[#This Row],[Order Quantity]]*Table2[[#This Row],[Price per Unit]]</f>
        <v>53492.480000000003</v>
      </c>
    </row>
    <row r="344" spans="1:11">
      <c r="A344" s="1" t="s">
        <v>363</v>
      </c>
      <c r="B344" s="1" t="s">
        <v>27</v>
      </c>
      <c r="C344" s="1" t="s">
        <v>22</v>
      </c>
      <c r="D344" s="10">
        <v>1071</v>
      </c>
      <c r="E344" s="10">
        <v>976</v>
      </c>
      <c r="F344" s="4">
        <v>28</v>
      </c>
      <c r="G344" s="2">
        <v>45523</v>
      </c>
      <c r="H344" s="21">
        <f t="shared" si="5"/>
        <v>45505</v>
      </c>
      <c r="I344" s="26">
        <v>45525</v>
      </c>
      <c r="J344" s="3">
        <v>23.61</v>
      </c>
      <c r="K344" s="10">
        <f>Table2[[#This Row],[Order Quantity]]*Table2[[#This Row],[Price per Unit]]</f>
        <v>25286.309999999998</v>
      </c>
    </row>
    <row r="345" spans="1:11">
      <c r="A345" s="1" t="s">
        <v>364</v>
      </c>
      <c r="B345" s="1" t="s">
        <v>18</v>
      </c>
      <c r="C345" s="1" t="s">
        <v>45</v>
      </c>
      <c r="D345" s="10">
        <v>1214</v>
      </c>
      <c r="E345" s="10">
        <v>1182</v>
      </c>
      <c r="F345" s="4">
        <v>43</v>
      </c>
      <c r="G345" s="2">
        <v>45370</v>
      </c>
      <c r="H345" s="21">
        <f t="shared" si="5"/>
        <v>45352</v>
      </c>
      <c r="I345" s="26">
        <v>45370</v>
      </c>
      <c r="J345" s="3">
        <v>14</v>
      </c>
      <c r="K345" s="10">
        <f>Table2[[#This Row],[Order Quantity]]*Table2[[#This Row],[Price per Unit]]</f>
        <v>16996</v>
      </c>
    </row>
    <row r="346" spans="1:11">
      <c r="A346" s="1" t="s">
        <v>365</v>
      </c>
      <c r="B346" s="1" t="s">
        <v>27</v>
      </c>
      <c r="C346" s="1" t="s">
        <v>22</v>
      </c>
      <c r="D346" s="10">
        <v>4426</v>
      </c>
      <c r="E346" s="10">
        <v>4327</v>
      </c>
      <c r="F346" s="4">
        <v>88</v>
      </c>
      <c r="G346" s="2">
        <v>45378</v>
      </c>
      <c r="H346" s="21">
        <f t="shared" si="5"/>
        <v>45352</v>
      </c>
      <c r="I346" s="26">
        <v>45380</v>
      </c>
      <c r="J346" s="3">
        <v>19.75</v>
      </c>
      <c r="K346" s="10">
        <f>Table2[[#This Row],[Order Quantity]]*Table2[[#This Row],[Price per Unit]]</f>
        <v>87413.5</v>
      </c>
    </row>
    <row r="347" spans="1:11">
      <c r="A347" s="1" t="s">
        <v>366</v>
      </c>
      <c r="B347" s="1" t="s">
        <v>25</v>
      </c>
      <c r="C347" s="1" t="s">
        <v>16</v>
      </c>
      <c r="D347" s="10">
        <v>1531</v>
      </c>
      <c r="E347" s="10">
        <v>1387</v>
      </c>
      <c r="F347" s="4">
        <v>22</v>
      </c>
      <c r="G347" s="2">
        <v>45400</v>
      </c>
      <c r="H347" s="21">
        <f t="shared" si="5"/>
        <v>45383</v>
      </c>
      <c r="I347" s="26">
        <v>45400</v>
      </c>
      <c r="J347" s="3">
        <v>19.329999999999998</v>
      </c>
      <c r="K347" s="10">
        <f>Table2[[#This Row],[Order Quantity]]*Table2[[#This Row],[Price per Unit]]</f>
        <v>29594.229999999996</v>
      </c>
    </row>
    <row r="348" spans="1:11">
      <c r="A348" s="1" t="s">
        <v>367</v>
      </c>
      <c r="B348" s="1" t="s">
        <v>25</v>
      </c>
      <c r="C348" s="1" t="s">
        <v>45</v>
      </c>
      <c r="D348" s="10">
        <v>907</v>
      </c>
      <c r="E348" s="10">
        <v>830</v>
      </c>
      <c r="F348" s="4">
        <v>10</v>
      </c>
      <c r="G348" s="2">
        <v>45523</v>
      </c>
      <c r="H348" s="21">
        <f t="shared" si="5"/>
        <v>45505</v>
      </c>
      <c r="I348" s="26">
        <v>45523</v>
      </c>
      <c r="J348" s="3">
        <v>15.17</v>
      </c>
      <c r="K348" s="10">
        <f>Table2[[#This Row],[Order Quantity]]*Table2[[#This Row],[Price per Unit]]</f>
        <v>13759.19</v>
      </c>
    </row>
    <row r="349" spans="1:11">
      <c r="A349" s="1" t="s">
        <v>368</v>
      </c>
      <c r="B349" s="1" t="s">
        <v>25</v>
      </c>
      <c r="C349" s="1" t="s">
        <v>20</v>
      </c>
      <c r="D349" s="10">
        <v>2450</v>
      </c>
      <c r="E349" s="10">
        <v>2313</v>
      </c>
      <c r="F349" s="4">
        <v>79</v>
      </c>
      <c r="G349" s="2">
        <v>45319</v>
      </c>
      <c r="H349" s="21">
        <f t="shared" si="5"/>
        <v>45292</v>
      </c>
      <c r="I349" s="26">
        <v>45319</v>
      </c>
      <c r="J349" s="3">
        <v>20.49</v>
      </c>
      <c r="K349" s="10">
        <f>Table2[[#This Row],[Order Quantity]]*Table2[[#This Row],[Price per Unit]]</f>
        <v>50200.499999999993</v>
      </c>
    </row>
    <row r="350" spans="1:11">
      <c r="A350" s="1" t="s">
        <v>369</v>
      </c>
      <c r="B350" s="1" t="s">
        <v>25</v>
      </c>
      <c r="C350" s="1" t="s">
        <v>20</v>
      </c>
      <c r="D350" s="10">
        <v>4062</v>
      </c>
      <c r="E350" s="10">
        <v>3906</v>
      </c>
      <c r="F350" s="4">
        <v>189</v>
      </c>
      <c r="G350" s="2">
        <v>45299</v>
      </c>
      <c r="H350" s="21">
        <f t="shared" si="5"/>
        <v>45292</v>
      </c>
      <c r="I350" s="26">
        <v>45306</v>
      </c>
      <c r="J350" s="3">
        <v>21.61</v>
      </c>
      <c r="K350" s="10">
        <f>Table2[[#This Row],[Order Quantity]]*Table2[[#This Row],[Price per Unit]]</f>
        <v>87779.819999999992</v>
      </c>
    </row>
    <row r="351" spans="1:11">
      <c r="A351" s="1" t="s">
        <v>370</v>
      </c>
      <c r="B351" s="1" t="s">
        <v>25</v>
      </c>
      <c r="C351" s="1" t="s">
        <v>22</v>
      </c>
      <c r="D351" s="10">
        <v>2073</v>
      </c>
      <c r="E351" s="10">
        <v>1891</v>
      </c>
      <c r="F351" s="4">
        <v>87</v>
      </c>
      <c r="G351" s="2">
        <v>45427</v>
      </c>
      <c r="H351" s="21">
        <f t="shared" si="5"/>
        <v>45413</v>
      </c>
      <c r="I351" s="26">
        <v>45434</v>
      </c>
      <c r="J351" s="3">
        <v>22.98</v>
      </c>
      <c r="K351" s="10">
        <f>Table2[[#This Row],[Order Quantity]]*Table2[[#This Row],[Price per Unit]]</f>
        <v>47637.54</v>
      </c>
    </row>
    <row r="352" spans="1:11">
      <c r="A352" s="1" t="s">
        <v>371</v>
      </c>
      <c r="B352" s="1" t="s">
        <v>18</v>
      </c>
      <c r="C352" s="1" t="s">
        <v>20</v>
      </c>
      <c r="D352" s="10">
        <v>859</v>
      </c>
      <c r="E352" s="10">
        <v>853</v>
      </c>
      <c r="F352" s="4">
        <v>31</v>
      </c>
      <c r="G352" s="2">
        <v>45340</v>
      </c>
      <c r="H352" s="21">
        <f t="shared" si="5"/>
        <v>45323</v>
      </c>
      <c r="I352" s="26">
        <v>45341</v>
      </c>
      <c r="J352" s="3">
        <v>9.11</v>
      </c>
      <c r="K352" s="10">
        <f>Table2[[#This Row],[Order Quantity]]*Table2[[#This Row],[Price per Unit]]</f>
        <v>7825.49</v>
      </c>
    </row>
    <row r="353" spans="1:11">
      <c r="A353" s="1" t="s">
        <v>372</v>
      </c>
      <c r="B353" s="1" t="s">
        <v>12</v>
      </c>
      <c r="C353" s="1" t="s">
        <v>45</v>
      </c>
      <c r="D353" s="10">
        <v>2113</v>
      </c>
      <c r="E353" s="10">
        <v>1923</v>
      </c>
      <c r="F353" s="4">
        <v>148</v>
      </c>
      <c r="G353" s="2">
        <v>45546</v>
      </c>
      <c r="H353" s="21">
        <f t="shared" si="5"/>
        <v>45536</v>
      </c>
      <c r="I353" s="26">
        <v>45546</v>
      </c>
      <c r="J353" s="3">
        <v>14.57</v>
      </c>
      <c r="K353" s="10">
        <f>Table2[[#This Row],[Order Quantity]]*Table2[[#This Row],[Price per Unit]]</f>
        <v>30786.41</v>
      </c>
    </row>
    <row r="354" spans="1:11">
      <c r="A354" s="1" t="s">
        <v>373</v>
      </c>
      <c r="B354" s="1" t="s">
        <v>18</v>
      </c>
      <c r="C354" s="1" t="s">
        <v>20</v>
      </c>
      <c r="D354" s="10">
        <v>2696</v>
      </c>
      <c r="E354" s="10">
        <v>2477</v>
      </c>
      <c r="F354" s="4">
        <v>107</v>
      </c>
      <c r="G354" s="2">
        <v>45560</v>
      </c>
      <c r="H354" s="21">
        <f t="shared" si="5"/>
        <v>45536</v>
      </c>
      <c r="I354" s="26">
        <v>45562</v>
      </c>
      <c r="J354" s="3">
        <v>7.28</v>
      </c>
      <c r="K354" s="10">
        <f>Table2[[#This Row],[Order Quantity]]*Table2[[#This Row],[Price per Unit]]</f>
        <v>19626.88</v>
      </c>
    </row>
    <row r="355" spans="1:11">
      <c r="A355" s="1" t="s">
        <v>374</v>
      </c>
      <c r="B355" s="1" t="s">
        <v>12</v>
      </c>
      <c r="C355" s="1" t="s">
        <v>16</v>
      </c>
      <c r="D355" s="10">
        <v>4483</v>
      </c>
      <c r="E355" s="10">
        <v>4580</v>
      </c>
      <c r="F355" s="4">
        <v>256</v>
      </c>
      <c r="G355" s="2">
        <v>45562</v>
      </c>
      <c r="H355" s="21">
        <f t="shared" si="5"/>
        <v>45536</v>
      </c>
      <c r="I355" s="26">
        <v>45562</v>
      </c>
      <c r="J355" s="3">
        <v>7.56</v>
      </c>
      <c r="K355" s="10">
        <f>Table2[[#This Row],[Order Quantity]]*Table2[[#This Row],[Price per Unit]]</f>
        <v>33891.479999999996</v>
      </c>
    </row>
    <row r="356" spans="1:11">
      <c r="A356" s="1" t="s">
        <v>375</v>
      </c>
      <c r="B356" s="1" t="s">
        <v>15</v>
      </c>
      <c r="C356" s="1" t="s">
        <v>20</v>
      </c>
      <c r="D356" s="10">
        <v>1435</v>
      </c>
      <c r="E356" s="10">
        <v>1420</v>
      </c>
      <c r="F356" s="4">
        <v>23</v>
      </c>
      <c r="G356" s="2">
        <v>45625</v>
      </c>
      <c r="H356" s="21">
        <f t="shared" si="5"/>
        <v>45597</v>
      </c>
      <c r="I356" s="26">
        <v>45626</v>
      </c>
      <c r="J356" s="3">
        <v>12.52</v>
      </c>
      <c r="K356" s="10">
        <f>Table2[[#This Row],[Order Quantity]]*Table2[[#This Row],[Price per Unit]]</f>
        <v>17966.2</v>
      </c>
    </row>
    <row r="357" spans="1:11">
      <c r="A357" s="1" t="s">
        <v>376</v>
      </c>
      <c r="B357" s="1" t="s">
        <v>15</v>
      </c>
      <c r="C357" s="1" t="s">
        <v>22</v>
      </c>
      <c r="D357" s="10">
        <v>4197</v>
      </c>
      <c r="E357" s="10">
        <v>4371</v>
      </c>
      <c r="F357" s="4">
        <v>117</v>
      </c>
      <c r="G357" s="2">
        <v>45579</v>
      </c>
      <c r="H357" s="21">
        <f t="shared" si="5"/>
        <v>45566</v>
      </c>
      <c r="I357" s="26">
        <v>45579</v>
      </c>
      <c r="J357" s="3">
        <v>7.43</v>
      </c>
      <c r="K357" s="10">
        <f>Table2[[#This Row],[Order Quantity]]*Table2[[#This Row],[Price per Unit]]</f>
        <v>31183.71</v>
      </c>
    </row>
    <row r="358" spans="1:11">
      <c r="A358" s="1" t="s">
        <v>377</v>
      </c>
      <c r="B358" s="1" t="s">
        <v>12</v>
      </c>
      <c r="C358" s="1" t="s">
        <v>20</v>
      </c>
      <c r="D358" s="10">
        <v>1185</v>
      </c>
      <c r="E358" s="10">
        <v>1068</v>
      </c>
      <c r="F358" s="4">
        <v>84</v>
      </c>
      <c r="G358" s="2">
        <v>45513</v>
      </c>
      <c r="H358" s="21">
        <f t="shared" si="5"/>
        <v>45505</v>
      </c>
      <c r="I358" s="26">
        <v>45518</v>
      </c>
      <c r="J358" s="3">
        <v>18.43</v>
      </c>
      <c r="K358" s="10">
        <f>Table2[[#This Row],[Order Quantity]]*Table2[[#This Row],[Price per Unit]]</f>
        <v>21839.55</v>
      </c>
    </row>
    <row r="359" spans="1:11">
      <c r="A359" s="1" t="s">
        <v>378</v>
      </c>
      <c r="B359" s="1" t="s">
        <v>12</v>
      </c>
      <c r="C359" s="1" t="s">
        <v>20</v>
      </c>
      <c r="D359" s="10">
        <v>538</v>
      </c>
      <c r="E359" s="10">
        <v>552</v>
      </c>
      <c r="F359" s="4">
        <v>41</v>
      </c>
      <c r="G359" s="2">
        <v>45440</v>
      </c>
      <c r="H359" s="21">
        <f t="shared" si="5"/>
        <v>45413</v>
      </c>
      <c r="I359" s="26">
        <v>45443</v>
      </c>
      <c r="J359" s="3">
        <v>10.039999999999999</v>
      </c>
      <c r="K359" s="10">
        <f>Table2[[#This Row],[Order Quantity]]*Table2[[#This Row],[Price per Unit]]</f>
        <v>5401.5199999999995</v>
      </c>
    </row>
    <row r="360" spans="1:11">
      <c r="A360" s="1" t="s">
        <v>379</v>
      </c>
      <c r="B360" s="1" t="s">
        <v>25</v>
      </c>
      <c r="C360" s="1" t="s">
        <v>45</v>
      </c>
      <c r="D360" s="10">
        <v>801</v>
      </c>
      <c r="E360" s="10">
        <v>808</v>
      </c>
      <c r="F360" s="4">
        <v>51</v>
      </c>
      <c r="G360" s="2">
        <v>45494</v>
      </c>
      <c r="H360" s="21">
        <f t="shared" si="5"/>
        <v>45474</v>
      </c>
      <c r="I360" s="26">
        <v>45501</v>
      </c>
      <c r="J360" s="3">
        <v>18.12</v>
      </c>
      <c r="K360" s="10">
        <f>Table2[[#This Row],[Order Quantity]]*Table2[[#This Row],[Price per Unit]]</f>
        <v>14514.12</v>
      </c>
    </row>
    <row r="361" spans="1:11">
      <c r="A361" s="1" t="s">
        <v>380</v>
      </c>
      <c r="B361" s="1" t="s">
        <v>12</v>
      </c>
      <c r="C361" s="1" t="s">
        <v>45</v>
      </c>
      <c r="D361" s="10">
        <v>1097</v>
      </c>
      <c r="E361" s="10">
        <v>1111</v>
      </c>
      <c r="F361" s="4">
        <v>32</v>
      </c>
      <c r="G361" s="2">
        <v>45560</v>
      </c>
      <c r="H361" s="21">
        <f t="shared" si="5"/>
        <v>45536</v>
      </c>
      <c r="I361" s="26">
        <v>45560</v>
      </c>
      <c r="J361" s="3">
        <v>15.79</v>
      </c>
      <c r="K361" s="10">
        <f>Table2[[#This Row],[Order Quantity]]*Table2[[#This Row],[Price per Unit]]</f>
        <v>17321.629999999997</v>
      </c>
    </row>
    <row r="362" spans="1:11">
      <c r="A362" s="1" t="s">
        <v>381</v>
      </c>
      <c r="B362" s="1" t="s">
        <v>12</v>
      </c>
      <c r="C362" s="1" t="s">
        <v>45</v>
      </c>
      <c r="D362" s="10">
        <v>4808</v>
      </c>
      <c r="E362" s="10">
        <v>4850</v>
      </c>
      <c r="F362" s="4">
        <v>326</v>
      </c>
      <c r="G362" s="2">
        <v>45379</v>
      </c>
      <c r="H362" s="21">
        <f t="shared" si="5"/>
        <v>45352</v>
      </c>
      <c r="I362" s="26">
        <v>45380</v>
      </c>
      <c r="J362" s="3">
        <v>9.27</v>
      </c>
      <c r="K362" s="10">
        <f>Table2[[#This Row],[Order Quantity]]*Table2[[#This Row],[Price per Unit]]</f>
        <v>44570.159999999996</v>
      </c>
    </row>
    <row r="363" spans="1:11">
      <c r="A363" s="1" t="s">
        <v>382</v>
      </c>
      <c r="B363" s="1" t="s">
        <v>25</v>
      </c>
      <c r="C363" s="1" t="s">
        <v>16</v>
      </c>
      <c r="D363" s="10">
        <v>960</v>
      </c>
      <c r="E363" s="10">
        <v>923</v>
      </c>
      <c r="F363" s="4">
        <v>58</v>
      </c>
      <c r="G363" s="2">
        <v>45294</v>
      </c>
      <c r="H363" s="21">
        <f t="shared" si="5"/>
        <v>45292</v>
      </c>
      <c r="I363" s="26">
        <v>45299</v>
      </c>
      <c r="J363" s="3">
        <v>19.87</v>
      </c>
      <c r="K363" s="10">
        <f>Table2[[#This Row],[Order Quantity]]*Table2[[#This Row],[Price per Unit]]</f>
        <v>19075.2</v>
      </c>
    </row>
    <row r="364" spans="1:11">
      <c r="A364" s="1" t="s">
        <v>383</v>
      </c>
      <c r="B364" s="1" t="s">
        <v>27</v>
      </c>
      <c r="C364" s="1" t="s">
        <v>45</v>
      </c>
      <c r="D364" s="10">
        <v>2153</v>
      </c>
      <c r="E364" s="10">
        <v>2120</v>
      </c>
      <c r="F364" s="4">
        <v>123</v>
      </c>
      <c r="G364" s="2">
        <v>45572</v>
      </c>
      <c r="H364" s="21">
        <f t="shared" si="5"/>
        <v>45566</v>
      </c>
      <c r="I364" s="26">
        <v>45579</v>
      </c>
      <c r="J364" s="3">
        <v>22.47</v>
      </c>
      <c r="K364" s="10">
        <f>Table2[[#This Row],[Order Quantity]]*Table2[[#This Row],[Price per Unit]]</f>
        <v>48377.909999999996</v>
      </c>
    </row>
    <row r="365" spans="1:11">
      <c r="A365" s="1" t="s">
        <v>384</v>
      </c>
      <c r="B365" s="1" t="s">
        <v>18</v>
      </c>
      <c r="C365" s="1" t="s">
        <v>20</v>
      </c>
      <c r="D365" s="10">
        <v>3800</v>
      </c>
      <c r="E365" s="10">
        <v>3511</v>
      </c>
      <c r="F365" s="4">
        <v>148</v>
      </c>
      <c r="G365" s="2">
        <v>45420</v>
      </c>
      <c r="H365" s="21">
        <f t="shared" si="5"/>
        <v>45413</v>
      </c>
      <c r="I365" s="26">
        <v>45421</v>
      </c>
      <c r="J365" s="3">
        <v>5.19</v>
      </c>
      <c r="K365" s="10">
        <f>Table2[[#This Row],[Order Quantity]]*Table2[[#This Row],[Price per Unit]]</f>
        <v>19722</v>
      </c>
    </row>
    <row r="366" spans="1:11">
      <c r="A366" s="1" t="s">
        <v>385</v>
      </c>
      <c r="B366" s="1" t="s">
        <v>27</v>
      </c>
      <c r="C366" s="1" t="s">
        <v>13</v>
      </c>
      <c r="D366" s="10">
        <v>1784</v>
      </c>
      <c r="E366" s="10">
        <v>1841</v>
      </c>
      <c r="F366" s="4">
        <v>54</v>
      </c>
      <c r="G366" s="2">
        <v>45611</v>
      </c>
      <c r="H366" s="21">
        <f t="shared" si="5"/>
        <v>45597</v>
      </c>
      <c r="I366" s="26">
        <v>45611</v>
      </c>
      <c r="J366" s="3">
        <v>8.8800000000000008</v>
      </c>
      <c r="K366" s="10">
        <f>Table2[[#This Row],[Order Quantity]]*Table2[[#This Row],[Price per Unit]]</f>
        <v>15841.920000000002</v>
      </c>
    </row>
    <row r="367" spans="1:11">
      <c r="A367" s="1" t="s">
        <v>386</v>
      </c>
      <c r="B367" s="1" t="s">
        <v>18</v>
      </c>
      <c r="C367" s="1" t="s">
        <v>45</v>
      </c>
      <c r="D367" s="10">
        <v>4062</v>
      </c>
      <c r="E367" s="10">
        <v>3845</v>
      </c>
      <c r="F367" s="4">
        <v>238</v>
      </c>
      <c r="G367" s="2">
        <v>45510</v>
      </c>
      <c r="H367" s="21">
        <f t="shared" si="5"/>
        <v>45505</v>
      </c>
      <c r="I367" s="26">
        <v>45510</v>
      </c>
      <c r="J367" s="3">
        <v>21.3</v>
      </c>
      <c r="K367" s="10">
        <f>Table2[[#This Row],[Order Quantity]]*Table2[[#This Row],[Price per Unit]]</f>
        <v>86520.6</v>
      </c>
    </row>
    <row r="368" spans="1:11">
      <c r="A368" s="1" t="s">
        <v>387</v>
      </c>
      <c r="B368" s="1" t="s">
        <v>15</v>
      </c>
      <c r="C368" s="1" t="s">
        <v>22</v>
      </c>
      <c r="D368" s="10">
        <v>3637</v>
      </c>
      <c r="E368" s="10">
        <v>3467</v>
      </c>
      <c r="F368" s="4">
        <v>224</v>
      </c>
      <c r="G368" s="2">
        <v>45377</v>
      </c>
      <c r="H368" s="21">
        <f t="shared" si="5"/>
        <v>45352</v>
      </c>
      <c r="I368" s="26">
        <v>45377</v>
      </c>
      <c r="J368" s="3">
        <v>16.079999999999998</v>
      </c>
      <c r="K368" s="10">
        <f>Table2[[#This Row],[Order Quantity]]*Table2[[#This Row],[Price per Unit]]</f>
        <v>58482.959999999992</v>
      </c>
    </row>
    <row r="369" spans="1:11">
      <c r="A369" s="1" t="s">
        <v>388</v>
      </c>
      <c r="B369" s="1" t="s">
        <v>12</v>
      </c>
      <c r="C369" s="1" t="s">
        <v>16</v>
      </c>
      <c r="D369" s="10">
        <v>3149</v>
      </c>
      <c r="E369" s="10">
        <v>3230</v>
      </c>
      <c r="F369" s="4">
        <v>220</v>
      </c>
      <c r="G369" s="2">
        <v>45412</v>
      </c>
      <c r="H369" s="21">
        <f t="shared" si="5"/>
        <v>45383</v>
      </c>
      <c r="I369" s="26">
        <v>45412</v>
      </c>
      <c r="J369" s="3">
        <v>5.22</v>
      </c>
      <c r="K369" s="10">
        <f>Table2[[#This Row],[Order Quantity]]*Table2[[#This Row],[Price per Unit]]</f>
        <v>16437.78</v>
      </c>
    </row>
    <row r="370" spans="1:11">
      <c r="A370" s="1" t="s">
        <v>389</v>
      </c>
      <c r="B370" s="1" t="s">
        <v>27</v>
      </c>
      <c r="C370" s="1" t="s">
        <v>16</v>
      </c>
      <c r="D370" s="10">
        <v>3134</v>
      </c>
      <c r="E370" s="10">
        <v>3176</v>
      </c>
      <c r="F370" s="4">
        <v>218</v>
      </c>
      <c r="G370" s="2">
        <v>45502</v>
      </c>
      <c r="H370" s="21">
        <f t="shared" si="5"/>
        <v>45474</v>
      </c>
      <c r="I370" s="26">
        <v>45504</v>
      </c>
      <c r="J370" s="3">
        <v>14.41</v>
      </c>
      <c r="K370" s="10">
        <f>Table2[[#This Row],[Order Quantity]]*Table2[[#This Row],[Price per Unit]]</f>
        <v>45160.94</v>
      </c>
    </row>
    <row r="371" spans="1:11">
      <c r="A371" s="1" t="s">
        <v>390</v>
      </c>
      <c r="B371" s="1" t="s">
        <v>18</v>
      </c>
      <c r="C371" s="1" t="s">
        <v>20</v>
      </c>
      <c r="D371" s="10">
        <v>1197</v>
      </c>
      <c r="E371" s="10">
        <v>1143</v>
      </c>
      <c r="F371" s="4">
        <v>47</v>
      </c>
      <c r="G371" s="2">
        <v>45315</v>
      </c>
      <c r="H371" s="21">
        <f t="shared" si="5"/>
        <v>45292</v>
      </c>
      <c r="I371" s="26">
        <v>45318</v>
      </c>
      <c r="J371" s="3">
        <v>19.440000000000001</v>
      </c>
      <c r="K371" s="10">
        <f>Table2[[#This Row],[Order Quantity]]*Table2[[#This Row],[Price per Unit]]</f>
        <v>23269.68</v>
      </c>
    </row>
    <row r="372" spans="1:11">
      <c r="A372" s="1" t="s">
        <v>391</v>
      </c>
      <c r="B372" s="1" t="s">
        <v>27</v>
      </c>
      <c r="C372" s="1" t="s">
        <v>22</v>
      </c>
      <c r="D372" s="10">
        <v>726</v>
      </c>
      <c r="E372" s="10">
        <v>668</v>
      </c>
      <c r="F372" s="4">
        <v>37</v>
      </c>
      <c r="G372" s="2">
        <v>45650</v>
      </c>
      <c r="H372" s="21">
        <f t="shared" si="5"/>
        <v>45627</v>
      </c>
      <c r="I372" s="26">
        <v>45652</v>
      </c>
      <c r="J372" s="3">
        <v>5.04</v>
      </c>
      <c r="K372" s="10">
        <f>Table2[[#This Row],[Order Quantity]]*Table2[[#This Row],[Price per Unit]]</f>
        <v>3659.04</v>
      </c>
    </row>
    <row r="373" spans="1:11">
      <c r="A373" s="1" t="s">
        <v>392</v>
      </c>
      <c r="B373" s="1" t="s">
        <v>27</v>
      </c>
      <c r="C373" s="1" t="s">
        <v>13</v>
      </c>
      <c r="D373" s="10">
        <v>2585</v>
      </c>
      <c r="E373" s="10">
        <v>2391</v>
      </c>
      <c r="F373" s="4">
        <v>54</v>
      </c>
      <c r="G373" s="2">
        <v>45564</v>
      </c>
      <c r="H373" s="21">
        <f t="shared" si="5"/>
        <v>45566</v>
      </c>
      <c r="I373" s="26">
        <v>45569</v>
      </c>
      <c r="J373" s="3">
        <v>12.75</v>
      </c>
      <c r="K373" s="10">
        <f>Table2[[#This Row],[Order Quantity]]*Table2[[#This Row],[Price per Unit]]</f>
        <v>32958.75</v>
      </c>
    </row>
    <row r="374" spans="1:11">
      <c r="A374" s="1" t="s">
        <v>393</v>
      </c>
      <c r="B374" s="1" t="s">
        <v>18</v>
      </c>
      <c r="C374" s="1" t="s">
        <v>22</v>
      </c>
      <c r="D374" s="10">
        <v>3130</v>
      </c>
      <c r="E374" s="10">
        <v>3042</v>
      </c>
      <c r="F374" s="4">
        <v>167</v>
      </c>
      <c r="G374" s="2">
        <v>45627</v>
      </c>
      <c r="H374" s="21">
        <f t="shared" si="5"/>
        <v>45627</v>
      </c>
      <c r="I374" s="26">
        <v>45627</v>
      </c>
      <c r="J374" s="3">
        <v>6.3</v>
      </c>
      <c r="K374" s="10">
        <f>Table2[[#This Row],[Order Quantity]]*Table2[[#This Row],[Price per Unit]]</f>
        <v>19719</v>
      </c>
    </row>
    <row r="375" spans="1:11">
      <c r="A375" s="1" t="s">
        <v>394</v>
      </c>
      <c r="B375" s="1" t="s">
        <v>12</v>
      </c>
      <c r="C375" s="1" t="s">
        <v>20</v>
      </c>
      <c r="D375" s="10">
        <v>3447</v>
      </c>
      <c r="E375" s="10">
        <v>3129</v>
      </c>
      <c r="F375" s="4">
        <v>137</v>
      </c>
      <c r="G375" s="2">
        <v>45450</v>
      </c>
      <c r="H375" s="21">
        <f t="shared" si="5"/>
        <v>45444</v>
      </c>
      <c r="I375" s="26">
        <v>45451</v>
      </c>
      <c r="J375" s="3">
        <v>16.989999999999998</v>
      </c>
      <c r="K375" s="10">
        <f>Table2[[#This Row],[Order Quantity]]*Table2[[#This Row],[Price per Unit]]</f>
        <v>58564.529999999992</v>
      </c>
    </row>
    <row r="376" spans="1:11">
      <c r="A376" s="1" t="s">
        <v>395</v>
      </c>
      <c r="B376" s="1" t="s">
        <v>15</v>
      </c>
      <c r="C376" s="1" t="s">
        <v>22</v>
      </c>
      <c r="D376" s="10">
        <v>4655</v>
      </c>
      <c r="E376" s="10">
        <v>4414</v>
      </c>
      <c r="F376" s="4">
        <v>240</v>
      </c>
      <c r="G376" s="2">
        <v>45443</v>
      </c>
      <c r="H376" s="21">
        <f t="shared" si="5"/>
        <v>45444</v>
      </c>
      <c r="I376" s="26">
        <v>45445</v>
      </c>
      <c r="J376" s="3">
        <v>7.98</v>
      </c>
      <c r="K376" s="10">
        <f>Table2[[#This Row],[Order Quantity]]*Table2[[#This Row],[Price per Unit]]</f>
        <v>37146.9</v>
      </c>
    </row>
    <row r="377" spans="1:11">
      <c r="A377" s="1" t="s">
        <v>396</v>
      </c>
      <c r="B377" s="1" t="s">
        <v>27</v>
      </c>
      <c r="C377" s="1" t="s">
        <v>20</v>
      </c>
      <c r="D377" s="10">
        <v>1041</v>
      </c>
      <c r="E377" s="10">
        <v>1090</v>
      </c>
      <c r="F377" s="4">
        <v>26</v>
      </c>
      <c r="G377" s="2">
        <v>45310</v>
      </c>
      <c r="H377" s="21">
        <f t="shared" si="5"/>
        <v>45292</v>
      </c>
      <c r="I377" s="26">
        <v>45317</v>
      </c>
      <c r="J377" s="3">
        <v>21.5</v>
      </c>
      <c r="K377" s="10">
        <f>Table2[[#This Row],[Order Quantity]]*Table2[[#This Row],[Price per Unit]]</f>
        <v>22381.5</v>
      </c>
    </row>
    <row r="378" spans="1:11">
      <c r="A378" s="1" t="s">
        <v>397</v>
      </c>
      <c r="B378" s="1" t="s">
        <v>27</v>
      </c>
      <c r="C378" s="1" t="s">
        <v>20</v>
      </c>
      <c r="D378" s="10">
        <v>4778</v>
      </c>
      <c r="E378" s="10">
        <v>4827</v>
      </c>
      <c r="F378" s="4">
        <v>127</v>
      </c>
      <c r="G378" s="2">
        <v>45404</v>
      </c>
      <c r="H378" s="21">
        <f t="shared" si="5"/>
        <v>45383</v>
      </c>
      <c r="I378" s="26">
        <v>45404</v>
      </c>
      <c r="J378" s="3">
        <v>12.43</v>
      </c>
      <c r="K378" s="10">
        <f>Table2[[#This Row],[Order Quantity]]*Table2[[#This Row],[Price per Unit]]</f>
        <v>59390.54</v>
      </c>
    </row>
    <row r="379" spans="1:11">
      <c r="A379" s="1" t="s">
        <v>398</v>
      </c>
      <c r="B379" s="1" t="s">
        <v>12</v>
      </c>
      <c r="C379" s="1" t="s">
        <v>13</v>
      </c>
      <c r="D379" s="10">
        <v>975</v>
      </c>
      <c r="E379" s="10">
        <v>985</v>
      </c>
      <c r="F379" s="4">
        <v>78</v>
      </c>
      <c r="G379" s="2">
        <v>45592</v>
      </c>
      <c r="H379" s="21">
        <f t="shared" si="5"/>
        <v>45566</v>
      </c>
      <c r="I379" s="26">
        <v>45592</v>
      </c>
      <c r="J379" s="3">
        <v>23.66</v>
      </c>
      <c r="K379" s="10">
        <f>Table2[[#This Row],[Order Quantity]]*Table2[[#This Row],[Price per Unit]]</f>
        <v>23068.5</v>
      </c>
    </row>
    <row r="380" spans="1:11">
      <c r="A380" s="1" t="s">
        <v>399</v>
      </c>
      <c r="B380" s="1" t="s">
        <v>15</v>
      </c>
      <c r="C380" s="1" t="s">
        <v>20</v>
      </c>
      <c r="D380" s="10">
        <v>2948</v>
      </c>
      <c r="E380" s="10">
        <v>2935</v>
      </c>
      <c r="F380" s="4">
        <v>131</v>
      </c>
      <c r="G380" s="2">
        <v>45489</v>
      </c>
      <c r="H380" s="21">
        <f t="shared" si="5"/>
        <v>45474</v>
      </c>
      <c r="I380" s="26">
        <v>45494</v>
      </c>
      <c r="J380" s="3">
        <v>8.57</v>
      </c>
      <c r="K380" s="10">
        <f>Table2[[#This Row],[Order Quantity]]*Table2[[#This Row],[Price per Unit]]</f>
        <v>25264.36</v>
      </c>
    </row>
    <row r="381" spans="1:11">
      <c r="A381" s="1" t="s">
        <v>400</v>
      </c>
      <c r="B381" s="1" t="s">
        <v>25</v>
      </c>
      <c r="C381" s="1" t="s">
        <v>20</v>
      </c>
      <c r="D381" s="10">
        <v>2625</v>
      </c>
      <c r="E381" s="10">
        <v>2656</v>
      </c>
      <c r="F381" s="4">
        <v>164</v>
      </c>
      <c r="G381" s="2">
        <v>45616</v>
      </c>
      <c r="H381" s="21">
        <f t="shared" si="5"/>
        <v>45597</v>
      </c>
      <c r="I381" s="26">
        <v>45616</v>
      </c>
      <c r="J381" s="3">
        <v>24.01</v>
      </c>
      <c r="K381" s="10">
        <f>Table2[[#This Row],[Order Quantity]]*Table2[[#This Row],[Price per Unit]]</f>
        <v>63026.250000000007</v>
      </c>
    </row>
    <row r="382" spans="1:11">
      <c r="A382" s="1" t="s">
        <v>401</v>
      </c>
      <c r="B382" s="1" t="s">
        <v>27</v>
      </c>
      <c r="C382" s="1" t="s">
        <v>16</v>
      </c>
      <c r="D382" s="10">
        <v>999</v>
      </c>
      <c r="E382" s="10">
        <v>953</v>
      </c>
      <c r="F382" s="4">
        <v>31</v>
      </c>
      <c r="G382" s="2">
        <v>45404</v>
      </c>
      <c r="H382" s="21">
        <f t="shared" si="5"/>
        <v>45383</v>
      </c>
      <c r="I382" s="26">
        <v>45407</v>
      </c>
      <c r="J382" s="3">
        <v>5.52</v>
      </c>
      <c r="K382" s="10">
        <f>Table2[[#This Row],[Order Quantity]]*Table2[[#This Row],[Price per Unit]]</f>
        <v>5514.48</v>
      </c>
    </row>
    <row r="383" spans="1:11">
      <c r="A383" s="1" t="s">
        <v>402</v>
      </c>
      <c r="B383" s="1" t="s">
        <v>15</v>
      </c>
      <c r="C383" s="1" t="s">
        <v>20</v>
      </c>
      <c r="D383" s="10">
        <v>3257</v>
      </c>
      <c r="E383" s="10">
        <v>3184</v>
      </c>
      <c r="F383" s="4">
        <v>98</v>
      </c>
      <c r="G383" s="2">
        <v>45326</v>
      </c>
      <c r="H383" s="21">
        <f t="shared" si="5"/>
        <v>45323</v>
      </c>
      <c r="I383" s="26">
        <v>45329</v>
      </c>
      <c r="J383" s="3">
        <v>23.81</v>
      </c>
      <c r="K383" s="10">
        <f>Table2[[#This Row],[Order Quantity]]*Table2[[#This Row],[Price per Unit]]</f>
        <v>77549.17</v>
      </c>
    </row>
    <row r="384" spans="1:11">
      <c r="A384" s="1" t="s">
        <v>403</v>
      </c>
      <c r="B384" s="1" t="s">
        <v>15</v>
      </c>
      <c r="C384" s="1" t="s">
        <v>45</v>
      </c>
      <c r="D384" s="10">
        <v>2503</v>
      </c>
      <c r="E384" s="10">
        <v>2554</v>
      </c>
      <c r="F384" s="4">
        <v>107</v>
      </c>
      <c r="G384" s="2">
        <v>45361</v>
      </c>
      <c r="H384" s="21">
        <f t="shared" si="5"/>
        <v>45352</v>
      </c>
      <c r="I384" s="26">
        <v>45361</v>
      </c>
      <c r="J384" s="3">
        <v>14.66</v>
      </c>
      <c r="K384" s="10">
        <f>Table2[[#This Row],[Order Quantity]]*Table2[[#This Row],[Price per Unit]]</f>
        <v>36693.980000000003</v>
      </c>
    </row>
    <row r="385" spans="1:11">
      <c r="A385" s="1" t="s">
        <v>404</v>
      </c>
      <c r="B385" s="1" t="s">
        <v>15</v>
      </c>
      <c r="C385" s="1" t="s">
        <v>13</v>
      </c>
      <c r="D385" s="10">
        <v>3831</v>
      </c>
      <c r="E385" s="10">
        <v>3476</v>
      </c>
      <c r="F385" s="4">
        <v>254</v>
      </c>
      <c r="G385" s="2">
        <v>45571</v>
      </c>
      <c r="H385" s="21">
        <f t="shared" si="5"/>
        <v>45566</v>
      </c>
      <c r="I385" s="26">
        <v>45571</v>
      </c>
      <c r="J385" s="3">
        <v>23.19</v>
      </c>
      <c r="K385" s="10">
        <f>Table2[[#This Row],[Order Quantity]]*Table2[[#This Row],[Price per Unit]]</f>
        <v>88840.89</v>
      </c>
    </row>
    <row r="386" spans="1:11">
      <c r="A386" s="1" t="s">
        <v>405</v>
      </c>
      <c r="B386" s="1" t="s">
        <v>27</v>
      </c>
      <c r="C386" s="1" t="s">
        <v>16</v>
      </c>
      <c r="D386" s="10">
        <v>3159</v>
      </c>
      <c r="E386" s="10">
        <v>3205</v>
      </c>
      <c r="F386" s="4">
        <v>67</v>
      </c>
      <c r="G386" s="2">
        <v>45479</v>
      </c>
      <c r="H386" s="21">
        <f t="shared" ref="H386:H449" si="6">DATE(YEAR(I386), MONTH(I386), 1)</f>
        <v>45474</v>
      </c>
      <c r="I386" s="26">
        <v>45479</v>
      </c>
      <c r="J386" s="3">
        <v>17.2</v>
      </c>
      <c r="K386" s="10">
        <f>Table2[[#This Row],[Order Quantity]]*Table2[[#This Row],[Price per Unit]]</f>
        <v>54334.799999999996</v>
      </c>
    </row>
    <row r="387" spans="1:11">
      <c r="A387" s="1" t="s">
        <v>406</v>
      </c>
      <c r="B387" s="1" t="s">
        <v>18</v>
      </c>
      <c r="C387" s="1" t="s">
        <v>22</v>
      </c>
      <c r="D387" s="10">
        <v>2119</v>
      </c>
      <c r="E387" s="10">
        <v>2115</v>
      </c>
      <c r="F387" s="4">
        <v>162</v>
      </c>
      <c r="G387" s="2">
        <v>45655</v>
      </c>
      <c r="H387" s="21">
        <f t="shared" si="6"/>
        <v>45627</v>
      </c>
      <c r="I387" s="26">
        <v>45655</v>
      </c>
      <c r="J387" s="3">
        <v>6.38</v>
      </c>
      <c r="K387" s="10">
        <f>Table2[[#This Row],[Order Quantity]]*Table2[[#This Row],[Price per Unit]]</f>
        <v>13519.22</v>
      </c>
    </row>
    <row r="388" spans="1:11">
      <c r="A388" s="1" t="s">
        <v>407</v>
      </c>
      <c r="B388" s="1" t="s">
        <v>25</v>
      </c>
      <c r="C388" s="1" t="s">
        <v>20</v>
      </c>
      <c r="D388" s="10">
        <v>2961</v>
      </c>
      <c r="E388" s="10">
        <v>2681</v>
      </c>
      <c r="F388" s="4">
        <v>78</v>
      </c>
      <c r="G388" s="2">
        <v>45561</v>
      </c>
      <c r="H388" s="21">
        <f t="shared" si="6"/>
        <v>45566</v>
      </c>
      <c r="I388" s="26">
        <v>45568</v>
      </c>
      <c r="J388" s="3">
        <v>10.51</v>
      </c>
      <c r="K388" s="10">
        <f>Table2[[#This Row],[Order Quantity]]*Table2[[#This Row],[Price per Unit]]</f>
        <v>31120.11</v>
      </c>
    </row>
    <row r="389" spans="1:11">
      <c r="A389" s="1" t="s">
        <v>408</v>
      </c>
      <c r="B389" s="1" t="s">
        <v>18</v>
      </c>
      <c r="C389" s="1" t="s">
        <v>45</v>
      </c>
      <c r="D389" s="10">
        <v>1405</v>
      </c>
      <c r="E389" s="10">
        <v>1321</v>
      </c>
      <c r="F389" s="4">
        <v>83</v>
      </c>
      <c r="G389" s="2">
        <v>45496</v>
      </c>
      <c r="H389" s="21">
        <f t="shared" si="6"/>
        <v>45474</v>
      </c>
      <c r="I389" s="26">
        <v>45499</v>
      </c>
      <c r="J389" s="3">
        <v>13.99</v>
      </c>
      <c r="K389" s="10">
        <f>Table2[[#This Row],[Order Quantity]]*Table2[[#This Row],[Price per Unit]]</f>
        <v>19655.95</v>
      </c>
    </row>
    <row r="390" spans="1:11">
      <c r="A390" s="1" t="s">
        <v>409</v>
      </c>
      <c r="B390" s="1" t="s">
        <v>15</v>
      </c>
      <c r="C390" s="1" t="s">
        <v>13</v>
      </c>
      <c r="D390" s="10">
        <v>1340</v>
      </c>
      <c r="E390" s="10">
        <v>1304</v>
      </c>
      <c r="F390" s="4">
        <v>16</v>
      </c>
      <c r="G390" s="2">
        <v>45541</v>
      </c>
      <c r="H390" s="21">
        <f t="shared" si="6"/>
        <v>45536</v>
      </c>
      <c r="I390" s="26">
        <v>45541</v>
      </c>
      <c r="J390" s="3">
        <v>6.25</v>
      </c>
      <c r="K390" s="10">
        <f>Table2[[#This Row],[Order Quantity]]*Table2[[#This Row],[Price per Unit]]</f>
        <v>8375</v>
      </c>
    </row>
    <row r="391" spans="1:11">
      <c r="A391" s="1" t="s">
        <v>410</v>
      </c>
      <c r="B391" s="1" t="s">
        <v>27</v>
      </c>
      <c r="C391" s="1" t="s">
        <v>45</v>
      </c>
      <c r="D391" s="10">
        <v>1189</v>
      </c>
      <c r="E391" s="10">
        <v>1143</v>
      </c>
      <c r="F391" s="4">
        <v>39</v>
      </c>
      <c r="G391" s="2">
        <v>45451</v>
      </c>
      <c r="H391" s="21">
        <f t="shared" si="6"/>
        <v>45444</v>
      </c>
      <c r="I391" s="26">
        <v>45458</v>
      </c>
      <c r="J391" s="3">
        <v>23</v>
      </c>
      <c r="K391" s="10">
        <f>Table2[[#This Row],[Order Quantity]]*Table2[[#This Row],[Price per Unit]]</f>
        <v>27347</v>
      </c>
    </row>
    <row r="392" spans="1:11">
      <c r="A392" s="1" t="s">
        <v>411</v>
      </c>
      <c r="B392" s="1" t="s">
        <v>27</v>
      </c>
      <c r="C392" s="1" t="s">
        <v>45</v>
      </c>
      <c r="D392" s="10">
        <v>1671</v>
      </c>
      <c r="E392" s="10">
        <v>1535</v>
      </c>
      <c r="F392" s="4">
        <v>110</v>
      </c>
      <c r="G392" s="2">
        <v>45445</v>
      </c>
      <c r="H392" s="21">
        <f t="shared" si="6"/>
        <v>45444</v>
      </c>
      <c r="I392" s="26">
        <v>45446</v>
      </c>
      <c r="J392" s="3">
        <v>12.87</v>
      </c>
      <c r="K392" s="10">
        <f>Table2[[#This Row],[Order Quantity]]*Table2[[#This Row],[Price per Unit]]</f>
        <v>21505.77</v>
      </c>
    </row>
    <row r="393" spans="1:11">
      <c r="A393" s="1" t="s">
        <v>412</v>
      </c>
      <c r="B393" s="1" t="s">
        <v>12</v>
      </c>
      <c r="C393" s="1" t="s">
        <v>20</v>
      </c>
      <c r="D393" s="10">
        <v>4459</v>
      </c>
      <c r="E393" s="10">
        <v>4187</v>
      </c>
      <c r="F393" s="4">
        <v>256</v>
      </c>
      <c r="G393" s="2">
        <v>45373</v>
      </c>
      <c r="H393" s="21">
        <f t="shared" si="6"/>
        <v>45352</v>
      </c>
      <c r="I393" s="26">
        <v>45375</v>
      </c>
      <c r="J393" s="3">
        <v>24.63</v>
      </c>
      <c r="K393" s="10">
        <f>Table2[[#This Row],[Order Quantity]]*Table2[[#This Row],[Price per Unit]]</f>
        <v>109825.17</v>
      </c>
    </row>
    <row r="394" spans="1:11">
      <c r="A394" s="1" t="s">
        <v>413</v>
      </c>
      <c r="B394" s="1" t="s">
        <v>25</v>
      </c>
      <c r="C394" s="1" t="s">
        <v>20</v>
      </c>
      <c r="D394" s="10">
        <v>4170</v>
      </c>
      <c r="E394" s="10">
        <v>3876</v>
      </c>
      <c r="F394" s="4">
        <v>192</v>
      </c>
      <c r="G394" s="2">
        <v>45636</v>
      </c>
      <c r="H394" s="21">
        <f t="shared" si="6"/>
        <v>45627</v>
      </c>
      <c r="I394" s="26">
        <v>45638</v>
      </c>
      <c r="J394" s="3">
        <v>14.28</v>
      </c>
      <c r="K394" s="10">
        <f>Table2[[#This Row],[Order Quantity]]*Table2[[#This Row],[Price per Unit]]</f>
        <v>59547.6</v>
      </c>
    </row>
    <row r="395" spans="1:11">
      <c r="A395" s="1" t="s">
        <v>414</v>
      </c>
      <c r="B395" s="1" t="s">
        <v>18</v>
      </c>
      <c r="C395" s="1" t="s">
        <v>16</v>
      </c>
      <c r="D395" s="10">
        <v>4979</v>
      </c>
      <c r="E395" s="10">
        <v>5203</v>
      </c>
      <c r="F395" s="4">
        <v>118</v>
      </c>
      <c r="G395" s="2">
        <v>45408</v>
      </c>
      <c r="H395" s="21">
        <f t="shared" si="6"/>
        <v>45383</v>
      </c>
      <c r="I395" s="26">
        <v>45409</v>
      </c>
      <c r="J395" s="3">
        <v>5.44</v>
      </c>
      <c r="K395" s="10">
        <f>Table2[[#This Row],[Order Quantity]]*Table2[[#This Row],[Price per Unit]]</f>
        <v>27085.760000000002</v>
      </c>
    </row>
    <row r="396" spans="1:11">
      <c r="A396" s="1" t="s">
        <v>415</v>
      </c>
      <c r="B396" s="1" t="s">
        <v>15</v>
      </c>
      <c r="C396" s="1" t="s">
        <v>16</v>
      </c>
      <c r="D396" s="10">
        <v>1394</v>
      </c>
      <c r="E396" s="10">
        <v>1307</v>
      </c>
      <c r="F396" s="4">
        <v>90</v>
      </c>
      <c r="G396" s="2">
        <v>45372</v>
      </c>
      <c r="H396" s="21">
        <f t="shared" si="6"/>
        <v>45352</v>
      </c>
      <c r="I396" s="26">
        <v>45379</v>
      </c>
      <c r="J396" s="3">
        <v>16.22</v>
      </c>
      <c r="K396" s="10">
        <f>Table2[[#This Row],[Order Quantity]]*Table2[[#This Row],[Price per Unit]]</f>
        <v>22610.679999999997</v>
      </c>
    </row>
    <row r="397" spans="1:11">
      <c r="A397" s="1" t="s">
        <v>416</v>
      </c>
      <c r="B397" s="1" t="s">
        <v>12</v>
      </c>
      <c r="C397" s="1" t="s">
        <v>16</v>
      </c>
      <c r="D397" s="10">
        <v>1072</v>
      </c>
      <c r="E397" s="10">
        <v>1103</v>
      </c>
      <c r="F397" s="4">
        <v>66</v>
      </c>
      <c r="G397" s="2">
        <v>45377</v>
      </c>
      <c r="H397" s="21">
        <f t="shared" si="6"/>
        <v>45352</v>
      </c>
      <c r="I397" s="26">
        <v>45377</v>
      </c>
      <c r="J397" s="3">
        <v>6.35</v>
      </c>
      <c r="K397" s="10">
        <f>Table2[[#This Row],[Order Quantity]]*Table2[[#This Row],[Price per Unit]]</f>
        <v>6807.2</v>
      </c>
    </row>
    <row r="398" spans="1:11">
      <c r="A398" s="1" t="s">
        <v>417</v>
      </c>
      <c r="B398" s="1" t="s">
        <v>25</v>
      </c>
      <c r="C398" s="1" t="s">
        <v>16</v>
      </c>
      <c r="D398" s="10">
        <v>2133</v>
      </c>
      <c r="E398" s="10">
        <v>1945</v>
      </c>
      <c r="F398" s="4">
        <v>81</v>
      </c>
      <c r="G398" s="2">
        <v>45632</v>
      </c>
      <c r="H398" s="21">
        <f t="shared" si="6"/>
        <v>45627</v>
      </c>
      <c r="I398" s="26">
        <v>45634</v>
      </c>
      <c r="J398" s="3">
        <v>14.69</v>
      </c>
      <c r="K398" s="10">
        <f>Table2[[#This Row],[Order Quantity]]*Table2[[#This Row],[Price per Unit]]</f>
        <v>31333.77</v>
      </c>
    </row>
    <row r="399" spans="1:11">
      <c r="A399" s="1" t="s">
        <v>418</v>
      </c>
      <c r="B399" s="1" t="s">
        <v>25</v>
      </c>
      <c r="C399" s="1" t="s">
        <v>16</v>
      </c>
      <c r="D399" s="10">
        <v>2037</v>
      </c>
      <c r="E399" s="10">
        <v>2036</v>
      </c>
      <c r="F399" s="4">
        <v>51</v>
      </c>
      <c r="G399" s="2">
        <v>45435</v>
      </c>
      <c r="H399" s="21">
        <f t="shared" si="6"/>
        <v>45413</v>
      </c>
      <c r="I399" s="26">
        <v>45442</v>
      </c>
      <c r="J399" s="3">
        <v>6.95</v>
      </c>
      <c r="K399" s="10">
        <f>Table2[[#This Row],[Order Quantity]]*Table2[[#This Row],[Price per Unit]]</f>
        <v>14157.15</v>
      </c>
    </row>
    <row r="400" spans="1:11">
      <c r="A400" s="1" t="s">
        <v>419</v>
      </c>
      <c r="B400" s="1" t="s">
        <v>25</v>
      </c>
      <c r="C400" s="1" t="s">
        <v>20</v>
      </c>
      <c r="D400" s="10">
        <v>4250</v>
      </c>
      <c r="E400" s="10">
        <v>4172</v>
      </c>
      <c r="F400" s="4">
        <v>59</v>
      </c>
      <c r="G400" s="2">
        <v>45350</v>
      </c>
      <c r="H400" s="21">
        <f t="shared" si="6"/>
        <v>45323</v>
      </c>
      <c r="I400" s="26">
        <v>45350</v>
      </c>
      <c r="J400" s="3">
        <v>15.25</v>
      </c>
      <c r="K400" s="10">
        <f>Table2[[#This Row],[Order Quantity]]*Table2[[#This Row],[Price per Unit]]</f>
        <v>64812.5</v>
      </c>
    </row>
    <row r="401" spans="1:11">
      <c r="A401" s="1" t="s">
        <v>420</v>
      </c>
      <c r="B401" s="1" t="s">
        <v>15</v>
      </c>
      <c r="C401" s="1" t="s">
        <v>16</v>
      </c>
      <c r="D401" s="10">
        <v>1110</v>
      </c>
      <c r="E401" s="10">
        <v>1007</v>
      </c>
      <c r="F401" s="4">
        <v>65</v>
      </c>
      <c r="G401" s="2">
        <v>45568</v>
      </c>
      <c r="H401" s="21">
        <f t="shared" si="6"/>
        <v>45566</v>
      </c>
      <c r="I401" s="26">
        <v>45569</v>
      </c>
      <c r="J401" s="3">
        <v>9.0299999999999994</v>
      </c>
      <c r="K401" s="10">
        <f>Table2[[#This Row],[Order Quantity]]*Table2[[#This Row],[Price per Unit]]</f>
        <v>10023.299999999999</v>
      </c>
    </row>
    <row r="402" spans="1:11">
      <c r="A402" s="1" t="s">
        <v>421</v>
      </c>
      <c r="B402" s="1" t="s">
        <v>15</v>
      </c>
      <c r="C402" s="1" t="s">
        <v>16</v>
      </c>
      <c r="D402" s="10">
        <v>1677</v>
      </c>
      <c r="E402" s="10">
        <v>1592</v>
      </c>
      <c r="F402" s="4">
        <v>100</v>
      </c>
      <c r="G402" s="2">
        <v>45523</v>
      </c>
      <c r="H402" s="21">
        <f t="shared" si="6"/>
        <v>45505</v>
      </c>
      <c r="I402" s="26">
        <v>45525</v>
      </c>
      <c r="J402" s="3">
        <v>15.39</v>
      </c>
      <c r="K402" s="10">
        <f>Table2[[#This Row],[Order Quantity]]*Table2[[#This Row],[Price per Unit]]</f>
        <v>25809.030000000002</v>
      </c>
    </row>
    <row r="403" spans="1:11">
      <c r="A403" s="1" t="s">
        <v>422</v>
      </c>
      <c r="B403" s="1" t="s">
        <v>25</v>
      </c>
      <c r="C403" s="1" t="s">
        <v>13</v>
      </c>
      <c r="D403" s="10">
        <v>2249</v>
      </c>
      <c r="E403" s="10">
        <v>2078</v>
      </c>
      <c r="F403" s="4">
        <v>57</v>
      </c>
      <c r="G403" s="2">
        <v>45459</v>
      </c>
      <c r="H403" s="21">
        <f t="shared" si="6"/>
        <v>45444</v>
      </c>
      <c r="I403" s="26">
        <v>45459</v>
      </c>
      <c r="J403" s="3">
        <v>23.93</v>
      </c>
      <c r="K403" s="10">
        <f>Table2[[#This Row],[Order Quantity]]*Table2[[#This Row],[Price per Unit]]</f>
        <v>53818.57</v>
      </c>
    </row>
    <row r="404" spans="1:11">
      <c r="A404" s="1" t="s">
        <v>423</v>
      </c>
      <c r="B404" s="1" t="s">
        <v>18</v>
      </c>
      <c r="C404" s="1" t="s">
        <v>22</v>
      </c>
      <c r="D404" s="10">
        <v>4367</v>
      </c>
      <c r="E404" s="10">
        <v>4436</v>
      </c>
      <c r="F404" s="4">
        <v>52</v>
      </c>
      <c r="G404" s="2">
        <v>45545</v>
      </c>
      <c r="H404" s="21">
        <f t="shared" si="6"/>
        <v>45536</v>
      </c>
      <c r="I404" s="26">
        <v>45545</v>
      </c>
      <c r="J404" s="3">
        <v>6.3</v>
      </c>
      <c r="K404" s="10">
        <f>Table2[[#This Row],[Order Quantity]]*Table2[[#This Row],[Price per Unit]]</f>
        <v>27512.1</v>
      </c>
    </row>
    <row r="405" spans="1:11">
      <c r="A405" s="1" t="s">
        <v>424</v>
      </c>
      <c r="B405" s="1" t="s">
        <v>12</v>
      </c>
      <c r="C405" s="1" t="s">
        <v>45</v>
      </c>
      <c r="D405" s="10">
        <v>2491</v>
      </c>
      <c r="E405" s="10">
        <v>2347</v>
      </c>
      <c r="F405" s="4">
        <v>87</v>
      </c>
      <c r="G405" s="2">
        <v>45458</v>
      </c>
      <c r="H405" s="21">
        <f t="shared" si="6"/>
        <v>45444</v>
      </c>
      <c r="I405" s="26">
        <v>45459</v>
      </c>
      <c r="J405" s="3">
        <v>20.97</v>
      </c>
      <c r="K405" s="10">
        <f>Table2[[#This Row],[Order Quantity]]*Table2[[#This Row],[Price per Unit]]</f>
        <v>52236.27</v>
      </c>
    </row>
    <row r="406" spans="1:11">
      <c r="A406" s="1" t="s">
        <v>425</v>
      </c>
      <c r="B406" s="1" t="s">
        <v>27</v>
      </c>
      <c r="C406" s="1" t="s">
        <v>22</v>
      </c>
      <c r="D406" s="10">
        <v>2314</v>
      </c>
      <c r="E406" s="10">
        <v>2367</v>
      </c>
      <c r="F406" s="4">
        <v>86</v>
      </c>
      <c r="G406" s="2">
        <v>45598</v>
      </c>
      <c r="H406" s="21">
        <f t="shared" si="6"/>
        <v>45597</v>
      </c>
      <c r="I406" s="26">
        <v>45598</v>
      </c>
      <c r="J406" s="3">
        <v>20.51</v>
      </c>
      <c r="K406" s="10">
        <f>Table2[[#This Row],[Order Quantity]]*Table2[[#This Row],[Price per Unit]]</f>
        <v>47460.140000000007</v>
      </c>
    </row>
    <row r="407" spans="1:11">
      <c r="A407" s="1" t="s">
        <v>426</v>
      </c>
      <c r="B407" s="1" t="s">
        <v>27</v>
      </c>
      <c r="C407" s="1" t="s">
        <v>45</v>
      </c>
      <c r="D407" s="10">
        <v>3051</v>
      </c>
      <c r="E407" s="10">
        <v>2831</v>
      </c>
      <c r="F407" s="4">
        <v>46</v>
      </c>
      <c r="G407" s="2">
        <v>45588</v>
      </c>
      <c r="H407" s="21">
        <f t="shared" si="6"/>
        <v>45566</v>
      </c>
      <c r="I407" s="26">
        <v>45589</v>
      </c>
      <c r="J407" s="3">
        <v>12.13</v>
      </c>
      <c r="K407" s="10">
        <f>Table2[[#This Row],[Order Quantity]]*Table2[[#This Row],[Price per Unit]]</f>
        <v>37008.630000000005</v>
      </c>
    </row>
    <row r="408" spans="1:11">
      <c r="A408" s="1" t="s">
        <v>427</v>
      </c>
      <c r="B408" s="1" t="s">
        <v>25</v>
      </c>
      <c r="C408" s="1" t="s">
        <v>45</v>
      </c>
      <c r="D408" s="10">
        <v>984</v>
      </c>
      <c r="E408" s="10">
        <v>979</v>
      </c>
      <c r="F408" s="4">
        <v>64</v>
      </c>
      <c r="G408" s="2">
        <v>45529</v>
      </c>
      <c r="H408" s="21">
        <f t="shared" si="6"/>
        <v>45536</v>
      </c>
      <c r="I408" s="26">
        <v>45536</v>
      </c>
      <c r="J408" s="3">
        <v>12.92</v>
      </c>
      <c r="K408" s="10">
        <f>Table2[[#This Row],[Order Quantity]]*Table2[[#This Row],[Price per Unit]]</f>
        <v>12713.28</v>
      </c>
    </row>
    <row r="409" spans="1:11">
      <c r="A409" s="1" t="s">
        <v>428</v>
      </c>
      <c r="B409" s="1" t="s">
        <v>12</v>
      </c>
      <c r="C409" s="1" t="s">
        <v>22</v>
      </c>
      <c r="D409" s="10">
        <v>4025</v>
      </c>
      <c r="E409" s="10">
        <v>4101</v>
      </c>
      <c r="F409" s="4">
        <v>131</v>
      </c>
      <c r="G409" s="2">
        <v>45550</v>
      </c>
      <c r="H409" s="21">
        <f t="shared" si="6"/>
        <v>45536</v>
      </c>
      <c r="I409" s="26">
        <v>45550</v>
      </c>
      <c r="J409" s="3">
        <v>22.14</v>
      </c>
      <c r="K409" s="10">
        <f>Table2[[#This Row],[Order Quantity]]*Table2[[#This Row],[Price per Unit]]</f>
        <v>89113.5</v>
      </c>
    </row>
    <row r="410" spans="1:11">
      <c r="A410" s="1" t="s">
        <v>429</v>
      </c>
      <c r="B410" s="1" t="s">
        <v>15</v>
      </c>
      <c r="C410" s="1" t="s">
        <v>16</v>
      </c>
      <c r="D410" s="10">
        <v>2398</v>
      </c>
      <c r="E410" s="10">
        <v>2511</v>
      </c>
      <c r="F410" s="4">
        <v>49</v>
      </c>
      <c r="G410" s="2">
        <v>45299</v>
      </c>
      <c r="H410" s="21">
        <f t="shared" si="6"/>
        <v>45292</v>
      </c>
      <c r="I410" s="26">
        <v>45301</v>
      </c>
      <c r="J410" s="3">
        <v>9.0399999999999991</v>
      </c>
      <c r="K410" s="10">
        <f>Table2[[#This Row],[Order Quantity]]*Table2[[#This Row],[Price per Unit]]</f>
        <v>21677.919999999998</v>
      </c>
    </row>
    <row r="411" spans="1:11">
      <c r="A411" s="1" t="s">
        <v>430</v>
      </c>
      <c r="B411" s="1" t="s">
        <v>18</v>
      </c>
      <c r="C411" s="1" t="s">
        <v>22</v>
      </c>
      <c r="D411" s="10">
        <v>1187</v>
      </c>
      <c r="E411" s="10">
        <v>1095</v>
      </c>
      <c r="F411" s="4">
        <v>44</v>
      </c>
      <c r="G411" s="2">
        <v>45537</v>
      </c>
      <c r="H411" s="21">
        <f t="shared" si="6"/>
        <v>45536</v>
      </c>
      <c r="I411" s="26">
        <v>45537</v>
      </c>
      <c r="J411" s="3">
        <v>17.309999999999999</v>
      </c>
      <c r="K411" s="10">
        <f>Table2[[#This Row],[Order Quantity]]*Table2[[#This Row],[Price per Unit]]</f>
        <v>20546.969999999998</v>
      </c>
    </row>
    <row r="412" spans="1:11">
      <c r="A412" s="1" t="s">
        <v>431</v>
      </c>
      <c r="B412" s="1" t="s">
        <v>25</v>
      </c>
      <c r="C412" s="1" t="s">
        <v>45</v>
      </c>
      <c r="D412" s="10">
        <v>3091</v>
      </c>
      <c r="E412" s="10">
        <v>2836</v>
      </c>
      <c r="F412" s="4">
        <v>175</v>
      </c>
      <c r="G412" s="2">
        <v>45420</v>
      </c>
      <c r="H412" s="21">
        <f t="shared" si="6"/>
        <v>45413</v>
      </c>
      <c r="I412" s="26">
        <v>45425</v>
      </c>
      <c r="J412" s="3">
        <v>11.39</v>
      </c>
      <c r="K412" s="10">
        <f>Table2[[#This Row],[Order Quantity]]*Table2[[#This Row],[Price per Unit]]</f>
        <v>35206.490000000005</v>
      </c>
    </row>
    <row r="413" spans="1:11">
      <c r="A413" s="1" t="s">
        <v>432</v>
      </c>
      <c r="B413" s="1" t="s">
        <v>12</v>
      </c>
      <c r="C413" s="1" t="s">
        <v>22</v>
      </c>
      <c r="D413" s="10">
        <v>2410</v>
      </c>
      <c r="E413" s="10">
        <v>2213</v>
      </c>
      <c r="F413" s="4">
        <v>134</v>
      </c>
      <c r="G413" s="2">
        <v>45393</v>
      </c>
      <c r="H413" s="21">
        <f t="shared" si="6"/>
        <v>45383</v>
      </c>
      <c r="I413" s="26">
        <v>45393</v>
      </c>
      <c r="J413" s="3">
        <v>11.46</v>
      </c>
      <c r="K413" s="10">
        <f>Table2[[#This Row],[Order Quantity]]*Table2[[#This Row],[Price per Unit]]</f>
        <v>27618.600000000002</v>
      </c>
    </row>
    <row r="414" spans="1:11">
      <c r="A414" s="1" t="s">
        <v>433</v>
      </c>
      <c r="B414" s="1" t="s">
        <v>27</v>
      </c>
      <c r="C414" s="1" t="s">
        <v>20</v>
      </c>
      <c r="D414" s="10">
        <v>2094</v>
      </c>
      <c r="E414" s="10">
        <v>1935</v>
      </c>
      <c r="F414" s="4">
        <v>21</v>
      </c>
      <c r="G414" s="2">
        <v>45644</v>
      </c>
      <c r="H414" s="21">
        <f t="shared" si="6"/>
        <v>45627</v>
      </c>
      <c r="I414" s="26">
        <v>45645</v>
      </c>
      <c r="J414" s="3">
        <v>16.2</v>
      </c>
      <c r="K414" s="10">
        <f>Table2[[#This Row],[Order Quantity]]*Table2[[#This Row],[Price per Unit]]</f>
        <v>33922.799999999996</v>
      </c>
    </row>
    <row r="415" spans="1:11">
      <c r="A415" s="1" t="s">
        <v>434</v>
      </c>
      <c r="B415" s="1" t="s">
        <v>27</v>
      </c>
      <c r="C415" s="1" t="s">
        <v>16</v>
      </c>
      <c r="D415" s="10">
        <v>4364</v>
      </c>
      <c r="E415" s="10">
        <v>4466</v>
      </c>
      <c r="F415" s="4">
        <v>110</v>
      </c>
      <c r="G415" s="2">
        <v>45518</v>
      </c>
      <c r="H415" s="21">
        <f t="shared" si="6"/>
        <v>45505</v>
      </c>
      <c r="I415" s="26">
        <v>45520</v>
      </c>
      <c r="J415" s="3">
        <v>12.58</v>
      </c>
      <c r="K415" s="10">
        <f>Table2[[#This Row],[Order Quantity]]*Table2[[#This Row],[Price per Unit]]</f>
        <v>54899.12</v>
      </c>
    </row>
    <row r="416" spans="1:11">
      <c r="A416" s="1" t="s">
        <v>435</v>
      </c>
      <c r="B416" s="1" t="s">
        <v>15</v>
      </c>
      <c r="C416" s="1" t="s">
        <v>22</v>
      </c>
      <c r="D416" s="10">
        <v>4047</v>
      </c>
      <c r="E416" s="10">
        <v>4163</v>
      </c>
      <c r="F416" s="4">
        <v>280</v>
      </c>
      <c r="G416" s="2">
        <v>45502</v>
      </c>
      <c r="H416" s="21">
        <f t="shared" si="6"/>
        <v>45474</v>
      </c>
      <c r="I416" s="26">
        <v>45503</v>
      </c>
      <c r="J416" s="3">
        <v>15.82</v>
      </c>
      <c r="K416" s="10">
        <f>Table2[[#This Row],[Order Quantity]]*Table2[[#This Row],[Price per Unit]]</f>
        <v>64023.54</v>
      </c>
    </row>
    <row r="417" spans="1:11">
      <c r="A417" s="1" t="s">
        <v>436</v>
      </c>
      <c r="B417" s="1" t="s">
        <v>25</v>
      </c>
      <c r="C417" s="1" t="s">
        <v>16</v>
      </c>
      <c r="D417" s="10">
        <v>3490</v>
      </c>
      <c r="E417" s="10">
        <v>3482</v>
      </c>
      <c r="F417" s="4">
        <v>111</v>
      </c>
      <c r="G417" s="2">
        <v>45422</v>
      </c>
      <c r="H417" s="21">
        <f t="shared" si="6"/>
        <v>45413</v>
      </c>
      <c r="I417" s="26">
        <v>45423</v>
      </c>
      <c r="J417" s="3">
        <v>10.09</v>
      </c>
      <c r="K417" s="10">
        <f>Table2[[#This Row],[Order Quantity]]*Table2[[#This Row],[Price per Unit]]</f>
        <v>35214.1</v>
      </c>
    </row>
    <row r="418" spans="1:11">
      <c r="A418" s="1" t="s">
        <v>437</v>
      </c>
      <c r="B418" s="1" t="s">
        <v>25</v>
      </c>
      <c r="C418" s="1" t="s">
        <v>45</v>
      </c>
      <c r="D418" s="10">
        <v>2321</v>
      </c>
      <c r="E418" s="10">
        <v>2149</v>
      </c>
      <c r="F418" s="4">
        <v>128</v>
      </c>
      <c r="G418" s="2">
        <v>45481</v>
      </c>
      <c r="H418" s="21">
        <f t="shared" si="6"/>
        <v>45474</v>
      </c>
      <c r="I418" s="26">
        <v>45481</v>
      </c>
      <c r="J418" s="3">
        <v>21.52</v>
      </c>
      <c r="K418" s="10">
        <f>Table2[[#This Row],[Order Quantity]]*Table2[[#This Row],[Price per Unit]]</f>
        <v>49947.92</v>
      </c>
    </row>
    <row r="419" spans="1:11">
      <c r="A419" s="1" t="s">
        <v>438</v>
      </c>
      <c r="B419" s="1" t="s">
        <v>18</v>
      </c>
      <c r="C419" s="1" t="s">
        <v>13</v>
      </c>
      <c r="D419" s="10">
        <v>1480</v>
      </c>
      <c r="E419" s="10">
        <v>1425</v>
      </c>
      <c r="F419" s="4">
        <v>104</v>
      </c>
      <c r="G419" s="2">
        <v>45629</v>
      </c>
      <c r="H419" s="21">
        <f t="shared" si="6"/>
        <v>45627</v>
      </c>
      <c r="I419" s="26">
        <v>45629</v>
      </c>
      <c r="J419" s="3">
        <v>19.79</v>
      </c>
      <c r="K419" s="10">
        <f>Table2[[#This Row],[Order Quantity]]*Table2[[#This Row],[Price per Unit]]</f>
        <v>29289.199999999997</v>
      </c>
    </row>
    <row r="420" spans="1:11">
      <c r="A420" s="1" t="s">
        <v>439</v>
      </c>
      <c r="B420" s="1" t="s">
        <v>15</v>
      </c>
      <c r="C420" s="1" t="s">
        <v>20</v>
      </c>
      <c r="D420" s="10">
        <v>1598</v>
      </c>
      <c r="E420" s="10">
        <v>1594</v>
      </c>
      <c r="F420" s="4">
        <v>85</v>
      </c>
      <c r="G420" s="2">
        <v>45616</v>
      </c>
      <c r="H420" s="21">
        <f t="shared" si="6"/>
        <v>45597</v>
      </c>
      <c r="I420" s="26">
        <v>45617</v>
      </c>
      <c r="J420" s="3">
        <v>12.05</v>
      </c>
      <c r="K420" s="10">
        <f>Table2[[#This Row],[Order Quantity]]*Table2[[#This Row],[Price per Unit]]</f>
        <v>19255.900000000001</v>
      </c>
    </row>
    <row r="421" spans="1:11">
      <c r="A421" s="1" t="s">
        <v>440</v>
      </c>
      <c r="B421" s="1" t="s">
        <v>15</v>
      </c>
      <c r="C421" s="1" t="s">
        <v>13</v>
      </c>
      <c r="D421" s="10">
        <v>2174</v>
      </c>
      <c r="E421" s="10">
        <v>2231</v>
      </c>
      <c r="F421" s="4">
        <v>61</v>
      </c>
      <c r="G421" s="2">
        <v>45563</v>
      </c>
      <c r="H421" s="21">
        <f t="shared" si="6"/>
        <v>45536</v>
      </c>
      <c r="I421" s="26">
        <v>45563</v>
      </c>
      <c r="J421" s="3">
        <v>5.62</v>
      </c>
      <c r="K421" s="10">
        <f>Table2[[#This Row],[Order Quantity]]*Table2[[#This Row],[Price per Unit]]</f>
        <v>12217.880000000001</v>
      </c>
    </row>
    <row r="422" spans="1:11">
      <c r="A422" s="1" t="s">
        <v>441</v>
      </c>
      <c r="B422" s="1" t="s">
        <v>25</v>
      </c>
      <c r="C422" s="1" t="s">
        <v>20</v>
      </c>
      <c r="D422" s="10">
        <v>1589</v>
      </c>
      <c r="E422" s="10">
        <v>1505</v>
      </c>
      <c r="F422" s="4">
        <v>15</v>
      </c>
      <c r="G422" s="2">
        <v>45492</v>
      </c>
      <c r="H422" s="21">
        <f t="shared" si="6"/>
        <v>45474</v>
      </c>
      <c r="I422" s="26">
        <v>45493</v>
      </c>
      <c r="J422" s="3">
        <v>18.63</v>
      </c>
      <c r="K422" s="10">
        <f>Table2[[#This Row],[Order Quantity]]*Table2[[#This Row],[Price per Unit]]</f>
        <v>29603.07</v>
      </c>
    </row>
    <row r="423" spans="1:11">
      <c r="A423" s="1" t="s">
        <v>442</v>
      </c>
      <c r="B423" s="1" t="s">
        <v>15</v>
      </c>
      <c r="C423" s="1" t="s">
        <v>45</v>
      </c>
      <c r="D423" s="10">
        <v>4719</v>
      </c>
      <c r="E423" s="10">
        <v>4949</v>
      </c>
      <c r="F423" s="4">
        <v>74</v>
      </c>
      <c r="G423" s="2">
        <v>45358</v>
      </c>
      <c r="H423" s="21">
        <f t="shared" si="6"/>
        <v>45352</v>
      </c>
      <c r="I423" s="26">
        <v>45359</v>
      </c>
      <c r="J423" s="3">
        <v>6.54</v>
      </c>
      <c r="K423" s="10">
        <f>Table2[[#This Row],[Order Quantity]]*Table2[[#This Row],[Price per Unit]]</f>
        <v>30862.26</v>
      </c>
    </row>
    <row r="424" spans="1:11">
      <c r="A424" s="1" t="s">
        <v>443</v>
      </c>
      <c r="B424" s="1" t="s">
        <v>18</v>
      </c>
      <c r="C424" s="1" t="s">
        <v>20</v>
      </c>
      <c r="D424" s="10">
        <v>941</v>
      </c>
      <c r="E424" s="10">
        <v>919</v>
      </c>
      <c r="F424" s="4">
        <v>28</v>
      </c>
      <c r="G424" s="2">
        <v>45518</v>
      </c>
      <c r="H424" s="21">
        <f t="shared" si="6"/>
        <v>45505</v>
      </c>
      <c r="I424" s="26">
        <v>45518</v>
      </c>
      <c r="J424" s="3">
        <v>9.25</v>
      </c>
      <c r="K424" s="10">
        <f>Table2[[#This Row],[Order Quantity]]*Table2[[#This Row],[Price per Unit]]</f>
        <v>8704.25</v>
      </c>
    </row>
    <row r="425" spans="1:11">
      <c r="A425" s="1" t="s">
        <v>444</v>
      </c>
      <c r="B425" s="1" t="s">
        <v>18</v>
      </c>
      <c r="C425" s="1" t="s">
        <v>45</v>
      </c>
      <c r="D425" s="10">
        <v>4200</v>
      </c>
      <c r="E425" s="10">
        <v>4037</v>
      </c>
      <c r="F425" s="4">
        <v>254</v>
      </c>
      <c r="G425" s="2">
        <v>45330</v>
      </c>
      <c r="H425" s="21">
        <f t="shared" si="6"/>
        <v>45323</v>
      </c>
      <c r="I425" s="26">
        <v>45330</v>
      </c>
      <c r="J425" s="3">
        <v>23.07</v>
      </c>
      <c r="K425" s="10">
        <f>Table2[[#This Row],[Order Quantity]]*Table2[[#This Row],[Price per Unit]]</f>
        <v>96894</v>
      </c>
    </row>
    <row r="426" spans="1:11">
      <c r="A426" s="1" t="s">
        <v>445</v>
      </c>
      <c r="B426" s="1" t="s">
        <v>27</v>
      </c>
      <c r="C426" s="1" t="s">
        <v>16</v>
      </c>
      <c r="D426" s="10">
        <v>4438</v>
      </c>
      <c r="E426" s="10">
        <v>4033</v>
      </c>
      <c r="F426" s="4">
        <v>294</v>
      </c>
      <c r="G426" s="2">
        <v>45425</v>
      </c>
      <c r="H426" s="21">
        <f t="shared" si="6"/>
        <v>45413</v>
      </c>
      <c r="I426" s="26">
        <v>45425</v>
      </c>
      <c r="J426" s="3">
        <v>18.02</v>
      </c>
      <c r="K426" s="10">
        <f>Table2[[#This Row],[Order Quantity]]*Table2[[#This Row],[Price per Unit]]</f>
        <v>79972.759999999995</v>
      </c>
    </row>
    <row r="427" spans="1:11">
      <c r="A427" s="1" t="s">
        <v>446</v>
      </c>
      <c r="B427" s="1" t="s">
        <v>18</v>
      </c>
      <c r="C427" s="1" t="s">
        <v>45</v>
      </c>
      <c r="D427" s="10">
        <v>2954</v>
      </c>
      <c r="E427" s="10">
        <v>2733</v>
      </c>
      <c r="F427" s="4">
        <v>101</v>
      </c>
      <c r="G427" s="2">
        <v>45433</v>
      </c>
      <c r="H427" s="21">
        <f t="shared" si="6"/>
        <v>45413</v>
      </c>
      <c r="I427" s="26">
        <v>45434</v>
      </c>
      <c r="J427" s="3">
        <v>12.59</v>
      </c>
      <c r="K427" s="10">
        <f>Table2[[#This Row],[Order Quantity]]*Table2[[#This Row],[Price per Unit]]</f>
        <v>37190.86</v>
      </c>
    </row>
    <row r="428" spans="1:11">
      <c r="A428" s="1" t="s">
        <v>447</v>
      </c>
      <c r="B428" s="1" t="s">
        <v>18</v>
      </c>
      <c r="C428" s="1" t="s">
        <v>20</v>
      </c>
      <c r="D428" s="10">
        <v>1339</v>
      </c>
      <c r="E428" s="10">
        <v>1230</v>
      </c>
      <c r="F428" s="4">
        <v>47</v>
      </c>
      <c r="G428" s="2">
        <v>45375</v>
      </c>
      <c r="H428" s="21">
        <f t="shared" si="6"/>
        <v>45352</v>
      </c>
      <c r="I428" s="26">
        <v>45375</v>
      </c>
      <c r="J428" s="3">
        <v>21.05</v>
      </c>
      <c r="K428" s="10">
        <f>Table2[[#This Row],[Order Quantity]]*Table2[[#This Row],[Price per Unit]]</f>
        <v>28185.95</v>
      </c>
    </row>
    <row r="429" spans="1:11">
      <c r="A429" s="1" t="s">
        <v>448</v>
      </c>
      <c r="B429" s="1" t="s">
        <v>25</v>
      </c>
      <c r="C429" s="1" t="s">
        <v>16</v>
      </c>
      <c r="D429" s="10">
        <v>780</v>
      </c>
      <c r="E429" s="10">
        <v>751</v>
      </c>
      <c r="F429" s="4">
        <v>8</v>
      </c>
      <c r="G429" s="2">
        <v>45441</v>
      </c>
      <c r="H429" s="21">
        <f t="shared" si="6"/>
        <v>45444</v>
      </c>
      <c r="I429" s="26">
        <v>45448</v>
      </c>
      <c r="J429" s="3">
        <v>24.32</v>
      </c>
      <c r="K429" s="10">
        <f>Table2[[#This Row],[Order Quantity]]*Table2[[#This Row],[Price per Unit]]</f>
        <v>18969.599999999999</v>
      </c>
    </row>
    <row r="430" spans="1:11">
      <c r="A430" s="1" t="s">
        <v>449</v>
      </c>
      <c r="B430" s="1" t="s">
        <v>18</v>
      </c>
      <c r="C430" s="1" t="s">
        <v>45</v>
      </c>
      <c r="D430" s="10">
        <v>4588</v>
      </c>
      <c r="E430" s="10">
        <v>4330</v>
      </c>
      <c r="F430" s="4">
        <v>319</v>
      </c>
      <c r="G430" s="2">
        <v>45492</v>
      </c>
      <c r="H430" s="21">
        <f t="shared" si="6"/>
        <v>45474</v>
      </c>
      <c r="I430" s="26">
        <v>45493</v>
      </c>
      <c r="J430" s="3">
        <v>20.079999999999998</v>
      </c>
      <c r="K430" s="10">
        <f>Table2[[#This Row],[Order Quantity]]*Table2[[#This Row],[Price per Unit]]</f>
        <v>92127.039999999994</v>
      </c>
    </row>
    <row r="431" spans="1:11">
      <c r="A431" s="1" t="s">
        <v>450</v>
      </c>
      <c r="B431" s="1" t="s">
        <v>27</v>
      </c>
      <c r="C431" s="1" t="s">
        <v>20</v>
      </c>
      <c r="D431" s="10">
        <v>2720</v>
      </c>
      <c r="E431" s="10">
        <v>2840</v>
      </c>
      <c r="F431" s="4">
        <v>172</v>
      </c>
      <c r="G431" s="2">
        <v>45412</v>
      </c>
      <c r="H431" s="21">
        <f t="shared" si="6"/>
        <v>45413</v>
      </c>
      <c r="I431" s="26">
        <v>45413</v>
      </c>
      <c r="J431" s="3">
        <v>11.1</v>
      </c>
      <c r="K431" s="10">
        <f>Table2[[#This Row],[Order Quantity]]*Table2[[#This Row],[Price per Unit]]</f>
        <v>30192</v>
      </c>
    </row>
    <row r="432" spans="1:11">
      <c r="A432" s="1" t="s">
        <v>451</v>
      </c>
      <c r="B432" s="1" t="s">
        <v>18</v>
      </c>
      <c r="C432" s="1" t="s">
        <v>13</v>
      </c>
      <c r="D432" s="10">
        <v>3490</v>
      </c>
      <c r="E432" s="10">
        <v>3376</v>
      </c>
      <c r="F432" s="4">
        <v>85</v>
      </c>
      <c r="G432" s="2">
        <v>45455</v>
      </c>
      <c r="H432" s="21">
        <f t="shared" si="6"/>
        <v>45444</v>
      </c>
      <c r="I432" s="26">
        <v>45462</v>
      </c>
      <c r="J432" s="3">
        <v>7.4</v>
      </c>
      <c r="K432" s="10">
        <f>Table2[[#This Row],[Order Quantity]]*Table2[[#This Row],[Price per Unit]]</f>
        <v>25826</v>
      </c>
    </row>
    <row r="433" spans="1:11">
      <c r="A433" s="1" t="s">
        <v>452</v>
      </c>
      <c r="B433" s="1" t="s">
        <v>27</v>
      </c>
      <c r="C433" s="1" t="s">
        <v>20</v>
      </c>
      <c r="D433" s="10">
        <v>3012</v>
      </c>
      <c r="E433" s="10">
        <v>2820</v>
      </c>
      <c r="F433" s="4">
        <v>30</v>
      </c>
      <c r="G433" s="2">
        <v>45380</v>
      </c>
      <c r="H433" s="21">
        <f t="shared" si="6"/>
        <v>45383</v>
      </c>
      <c r="I433" s="26">
        <v>45383</v>
      </c>
      <c r="J433" s="3">
        <v>14.38</v>
      </c>
      <c r="K433" s="10">
        <f>Table2[[#This Row],[Order Quantity]]*Table2[[#This Row],[Price per Unit]]</f>
        <v>43312.560000000005</v>
      </c>
    </row>
    <row r="434" spans="1:11">
      <c r="A434" s="1" t="s">
        <v>453</v>
      </c>
      <c r="B434" s="1" t="s">
        <v>15</v>
      </c>
      <c r="C434" s="1" t="s">
        <v>45</v>
      </c>
      <c r="D434" s="10">
        <v>2262</v>
      </c>
      <c r="E434" s="10">
        <v>2112</v>
      </c>
      <c r="F434" s="4">
        <v>129</v>
      </c>
      <c r="G434" s="2">
        <v>45359</v>
      </c>
      <c r="H434" s="21">
        <f t="shared" si="6"/>
        <v>45352</v>
      </c>
      <c r="I434" s="26">
        <v>45360</v>
      </c>
      <c r="J434" s="3">
        <v>16.98</v>
      </c>
      <c r="K434" s="10">
        <f>Table2[[#This Row],[Order Quantity]]*Table2[[#This Row],[Price per Unit]]</f>
        <v>38408.76</v>
      </c>
    </row>
    <row r="435" spans="1:11">
      <c r="A435" s="1" t="s">
        <v>454</v>
      </c>
      <c r="B435" s="1" t="s">
        <v>27</v>
      </c>
      <c r="C435" s="1" t="s">
        <v>13</v>
      </c>
      <c r="D435" s="10">
        <v>4508</v>
      </c>
      <c r="E435" s="10">
        <v>4725</v>
      </c>
      <c r="F435" s="4">
        <v>254</v>
      </c>
      <c r="G435" s="2">
        <v>45353</v>
      </c>
      <c r="H435" s="21">
        <f t="shared" si="6"/>
        <v>45352</v>
      </c>
      <c r="I435" s="26">
        <v>45353</v>
      </c>
      <c r="J435" s="3">
        <v>15.63</v>
      </c>
      <c r="K435" s="10">
        <f>Table2[[#This Row],[Order Quantity]]*Table2[[#This Row],[Price per Unit]]</f>
        <v>70460.040000000008</v>
      </c>
    </row>
    <row r="436" spans="1:11">
      <c r="A436" s="1" t="s">
        <v>455</v>
      </c>
      <c r="B436" s="1" t="s">
        <v>15</v>
      </c>
      <c r="C436" s="1" t="s">
        <v>45</v>
      </c>
      <c r="D436" s="10">
        <v>2979</v>
      </c>
      <c r="E436" s="10">
        <v>2696</v>
      </c>
      <c r="F436" s="4">
        <v>136</v>
      </c>
      <c r="G436" s="2">
        <v>45341</v>
      </c>
      <c r="H436" s="21">
        <f t="shared" si="6"/>
        <v>45323</v>
      </c>
      <c r="I436" s="26">
        <v>45343</v>
      </c>
      <c r="J436" s="3">
        <v>24.91</v>
      </c>
      <c r="K436" s="10">
        <f>Table2[[#This Row],[Order Quantity]]*Table2[[#This Row],[Price per Unit]]</f>
        <v>74206.89</v>
      </c>
    </row>
    <row r="437" spans="1:11">
      <c r="A437" s="1" t="s">
        <v>456</v>
      </c>
      <c r="B437" s="1" t="s">
        <v>12</v>
      </c>
      <c r="C437" s="1" t="s">
        <v>20</v>
      </c>
      <c r="D437" s="10">
        <v>1160</v>
      </c>
      <c r="E437" s="10">
        <v>1055</v>
      </c>
      <c r="F437" s="4">
        <v>71</v>
      </c>
      <c r="G437" s="2">
        <v>45492</v>
      </c>
      <c r="H437" s="21">
        <f t="shared" si="6"/>
        <v>45474</v>
      </c>
      <c r="I437" s="26">
        <v>45494</v>
      </c>
      <c r="J437" s="3">
        <v>16.98</v>
      </c>
      <c r="K437" s="10">
        <f>Table2[[#This Row],[Order Quantity]]*Table2[[#This Row],[Price per Unit]]</f>
        <v>19696.8</v>
      </c>
    </row>
    <row r="438" spans="1:11">
      <c r="A438" s="1" t="s">
        <v>457</v>
      </c>
      <c r="B438" s="1" t="s">
        <v>27</v>
      </c>
      <c r="C438" s="1" t="s">
        <v>22</v>
      </c>
      <c r="D438" s="10">
        <v>1558</v>
      </c>
      <c r="E438" s="10">
        <v>1596</v>
      </c>
      <c r="F438" s="4">
        <v>114</v>
      </c>
      <c r="G438" s="2">
        <v>45592</v>
      </c>
      <c r="H438" s="21">
        <f t="shared" si="6"/>
        <v>45597</v>
      </c>
      <c r="I438" s="26">
        <v>45597</v>
      </c>
      <c r="J438" s="3">
        <v>16.440000000000001</v>
      </c>
      <c r="K438" s="10">
        <f>Table2[[#This Row],[Order Quantity]]*Table2[[#This Row],[Price per Unit]]</f>
        <v>25613.52</v>
      </c>
    </row>
    <row r="439" spans="1:11">
      <c r="A439" s="1" t="s">
        <v>458</v>
      </c>
      <c r="B439" s="1" t="s">
        <v>12</v>
      </c>
      <c r="C439" s="1" t="s">
        <v>45</v>
      </c>
      <c r="D439" s="10">
        <v>1947</v>
      </c>
      <c r="E439" s="10">
        <v>1844</v>
      </c>
      <c r="F439" s="4">
        <v>74</v>
      </c>
      <c r="G439" s="2">
        <v>45652</v>
      </c>
      <c r="H439" s="21">
        <f t="shared" si="6"/>
        <v>45627</v>
      </c>
      <c r="I439" s="26">
        <v>45652</v>
      </c>
      <c r="J439" s="3">
        <v>20.48</v>
      </c>
      <c r="K439" s="10">
        <f>Table2[[#This Row],[Order Quantity]]*Table2[[#This Row],[Price per Unit]]</f>
        <v>39874.559999999998</v>
      </c>
    </row>
    <row r="440" spans="1:11">
      <c r="A440" s="1" t="s">
        <v>459</v>
      </c>
      <c r="B440" s="1" t="s">
        <v>18</v>
      </c>
      <c r="C440" s="1" t="s">
        <v>13</v>
      </c>
      <c r="D440" s="10">
        <v>2573</v>
      </c>
      <c r="E440" s="10">
        <v>2379</v>
      </c>
      <c r="F440" s="4">
        <v>52</v>
      </c>
      <c r="G440" s="2">
        <v>45329</v>
      </c>
      <c r="H440" s="21">
        <f t="shared" si="6"/>
        <v>45323</v>
      </c>
      <c r="I440" s="26">
        <v>45330</v>
      </c>
      <c r="J440" s="3">
        <v>23.96</v>
      </c>
      <c r="K440" s="10">
        <f>Table2[[#This Row],[Order Quantity]]*Table2[[#This Row],[Price per Unit]]</f>
        <v>61649.08</v>
      </c>
    </row>
    <row r="441" spans="1:11">
      <c r="A441" s="1" t="s">
        <v>460</v>
      </c>
      <c r="B441" s="1" t="s">
        <v>15</v>
      </c>
      <c r="C441" s="1" t="s">
        <v>13</v>
      </c>
      <c r="D441" s="10">
        <v>4240</v>
      </c>
      <c r="E441" s="10">
        <v>4222</v>
      </c>
      <c r="F441" s="4">
        <v>242</v>
      </c>
      <c r="G441" s="2">
        <v>45551</v>
      </c>
      <c r="H441" s="21">
        <f t="shared" si="6"/>
        <v>45536</v>
      </c>
      <c r="I441" s="26">
        <v>45554</v>
      </c>
      <c r="J441" s="3">
        <v>7.63</v>
      </c>
      <c r="K441" s="10">
        <f>Table2[[#This Row],[Order Quantity]]*Table2[[#This Row],[Price per Unit]]</f>
        <v>32351.200000000001</v>
      </c>
    </row>
    <row r="442" spans="1:11">
      <c r="A442" s="1" t="s">
        <v>461</v>
      </c>
      <c r="B442" s="1" t="s">
        <v>15</v>
      </c>
      <c r="C442" s="1" t="s">
        <v>20</v>
      </c>
      <c r="D442" s="10">
        <v>1078</v>
      </c>
      <c r="E442" s="10">
        <v>1075</v>
      </c>
      <c r="F442" s="4">
        <v>82</v>
      </c>
      <c r="G442" s="2">
        <v>45652</v>
      </c>
      <c r="H442" s="21">
        <f t="shared" si="6"/>
        <v>45627</v>
      </c>
      <c r="I442" s="26">
        <v>45652</v>
      </c>
      <c r="J442" s="3">
        <v>17.010000000000002</v>
      </c>
      <c r="K442" s="10">
        <f>Table2[[#This Row],[Order Quantity]]*Table2[[#This Row],[Price per Unit]]</f>
        <v>18336.780000000002</v>
      </c>
    </row>
    <row r="443" spans="1:11">
      <c r="A443" s="1" t="s">
        <v>462</v>
      </c>
      <c r="B443" s="1" t="s">
        <v>25</v>
      </c>
      <c r="C443" s="1" t="s">
        <v>16</v>
      </c>
      <c r="D443" s="10">
        <v>1610</v>
      </c>
      <c r="E443" s="10">
        <v>1547</v>
      </c>
      <c r="F443" s="4">
        <v>112</v>
      </c>
      <c r="G443" s="2">
        <v>45352</v>
      </c>
      <c r="H443" s="21">
        <f t="shared" si="6"/>
        <v>45352</v>
      </c>
      <c r="I443" s="26">
        <v>45353</v>
      </c>
      <c r="J443" s="3">
        <v>5.0599999999999996</v>
      </c>
      <c r="K443" s="10">
        <f>Table2[[#This Row],[Order Quantity]]*Table2[[#This Row],[Price per Unit]]</f>
        <v>8146.5999999999995</v>
      </c>
    </row>
    <row r="444" spans="1:11">
      <c r="A444" s="1" t="s">
        <v>463</v>
      </c>
      <c r="B444" s="1" t="s">
        <v>27</v>
      </c>
      <c r="C444" s="1" t="s">
        <v>20</v>
      </c>
      <c r="D444" s="10">
        <v>4857</v>
      </c>
      <c r="E444" s="10">
        <v>4404</v>
      </c>
      <c r="F444" s="4">
        <v>87</v>
      </c>
      <c r="G444" s="2">
        <v>45384</v>
      </c>
      <c r="H444" s="21">
        <f t="shared" si="6"/>
        <v>45383</v>
      </c>
      <c r="I444" s="26">
        <v>45386</v>
      </c>
      <c r="J444" s="3">
        <v>10.54</v>
      </c>
      <c r="K444" s="10">
        <f>Table2[[#This Row],[Order Quantity]]*Table2[[#This Row],[Price per Unit]]</f>
        <v>51192.78</v>
      </c>
    </row>
    <row r="445" spans="1:11">
      <c r="A445" s="1" t="s">
        <v>464</v>
      </c>
      <c r="B445" s="1" t="s">
        <v>15</v>
      </c>
      <c r="C445" s="1" t="s">
        <v>22</v>
      </c>
      <c r="D445" s="10">
        <v>3300</v>
      </c>
      <c r="E445" s="10">
        <v>3278</v>
      </c>
      <c r="F445" s="4">
        <v>140</v>
      </c>
      <c r="G445" s="2">
        <v>45631</v>
      </c>
      <c r="H445" s="21">
        <f t="shared" si="6"/>
        <v>45627</v>
      </c>
      <c r="I445" s="26">
        <v>45638</v>
      </c>
      <c r="J445" s="3">
        <v>13.95</v>
      </c>
      <c r="K445" s="10">
        <f>Table2[[#This Row],[Order Quantity]]*Table2[[#This Row],[Price per Unit]]</f>
        <v>46035</v>
      </c>
    </row>
    <row r="446" spans="1:11">
      <c r="A446" s="1" t="s">
        <v>465</v>
      </c>
      <c r="B446" s="1" t="s">
        <v>15</v>
      </c>
      <c r="C446" s="1" t="s">
        <v>45</v>
      </c>
      <c r="D446" s="10">
        <v>2596</v>
      </c>
      <c r="E446" s="10">
        <v>2339</v>
      </c>
      <c r="F446" s="4">
        <v>59</v>
      </c>
      <c r="G446" s="2">
        <v>45644</v>
      </c>
      <c r="H446" s="21">
        <f t="shared" si="6"/>
        <v>45627</v>
      </c>
      <c r="I446" s="26">
        <v>45644</v>
      </c>
      <c r="J446" s="3">
        <v>5.73</v>
      </c>
      <c r="K446" s="10">
        <f>Table2[[#This Row],[Order Quantity]]*Table2[[#This Row],[Price per Unit]]</f>
        <v>14875.080000000002</v>
      </c>
    </row>
    <row r="447" spans="1:11">
      <c r="A447" s="1" t="s">
        <v>466</v>
      </c>
      <c r="B447" s="1" t="s">
        <v>15</v>
      </c>
      <c r="C447" s="1" t="s">
        <v>22</v>
      </c>
      <c r="D447" s="10">
        <v>840</v>
      </c>
      <c r="E447" s="10">
        <v>811</v>
      </c>
      <c r="F447" s="4">
        <v>20</v>
      </c>
      <c r="G447" s="2">
        <v>45601</v>
      </c>
      <c r="H447" s="21">
        <f t="shared" si="6"/>
        <v>45597</v>
      </c>
      <c r="I447" s="26">
        <v>45604</v>
      </c>
      <c r="J447" s="3">
        <v>12.94</v>
      </c>
      <c r="K447" s="10">
        <f>Table2[[#This Row],[Order Quantity]]*Table2[[#This Row],[Price per Unit]]</f>
        <v>10869.6</v>
      </c>
    </row>
    <row r="448" spans="1:11">
      <c r="A448" s="1" t="s">
        <v>467</v>
      </c>
      <c r="B448" s="1" t="s">
        <v>18</v>
      </c>
      <c r="C448" s="1" t="s">
        <v>13</v>
      </c>
      <c r="D448" s="10">
        <v>2300</v>
      </c>
      <c r="E448" s="10">
        <v>2351</v>
      </c>
      <c r="F448" s="4">
        <v>70</v>
      </c>
      <c r="G448" s="2">
        <v>45568</v>
      </c>
      <c r="H448" s="21">
        <f t="shared" si="6"/>
        <v>45566</v>
      </c>
      <c r="I448" s="26">
        <v>45568</v>
      </c>
      <c r="J448" s="3">
        <v>21.36</v>
      </c>
      <c r="K448" s="10">
        <f>Table2[[#This Row],[Order Quantity]]*Table2[[#This Row],[Price per Unit]]</f>
        <v>49128</v>
      </c>
    </row>
    <row r="449" spans="1:11">
      <c r="A449" s="1" t="s">
        <v>468</v>
      </c>
      <c r="B449" s="1" t="s">
        <v>27</v>
      </c>
      <c r="C449" s="1" t="s">
        <v>16</v>
      </c>
      <c r="D449" s="10">
        <v>4142</v>
      </c>
      <c r="E449" s="10">
        <v>4043</v>
      </c>
      <c r="F449" s="4">
        <v>287</v>
      </c>
      <c r="G449" s="2">
        <v>45558</v>
      </c>
      <c r="H449" s="21">
        <f t="shared" si="6"/>
        <v>45536</v>
      </c>
      <c r="I449" s="26">
        <v>45561</v>
      </c>
      <c r="J449" s="3">
        <v>14.87</v>
      </c>
      <c r="K449" s="10">
        <f>Table2[[#This Row],[Order Quantity]]*Table2[[#This Row],[Price per Unit]]</f>
        <v>61591.539999999994</v>
      </c>
    </row>
    <row r="450" spans="1:11">
      <c r="A450" s="1" t="s">
        <v>469</v>
      </c>
      <c r="B450" s="1" t="s">
        <v>18</v>
      </c>
      <c r="C450" s="1" t="s">
        <v>16</v>
      </c>
      <c r="D450" s="10">
        <v>1856</v>
      </c>
      <c r="E450" s="10">
        <v>1929</v>
      </c>
      <c r="F450" s="4">
        <v>41</v>
      </c>
      <c r="G450" s="2">
        <v>45310</v>
      </c>
      <c r="H450" s="21">
        <f t="shared" ref="H450:H513" si="7">DATE(YEAR(I450), MONTH(I450), 1)</f>
        <v>45292</v>
      </c>
      <c r="I450" s="26">
        <v>45311</v>
      </c>
      <c r="J450" s="3">
        <v>12.8</v>
      </c>
      <c r="K450" s="10">
        <f>Table2[[#This Row],[Order Quantity]]*Table2[[#This Row],[Price per Unit]]</f>
        <v>23756.800000000003</v>
      </c>
    </row>
    <row r="451" spans="1:11">
      <c r="A451" s="1" t="s">
        <v>470</v>
      </c>
      <c r="B451" s="1" t="s">
        <v>25</v>
      </c>
      <c r="C451" s="1" t="s">
        <v>45</v>
      </c>
      <c r="D451" s="10">
        <v>3504</v>
      </c>
      <c r="E451" s="10">
        <v>3528</v>
      </c>
      <c r="F451" s="4">
        <v>185</v>
      </c>
      <c r="G451" s="2">
        <v>45592</v>
      </c>
      <c r="H451" s="21">
        <f t="shared" si="7"/>
        <v>45566</v>
      </c>
      <c r="I451" s="26">
        <v>45592</v>
      </c>
      <c r="J451" s="3">
        <v>11.19</v>
      </c>
      <c r="K451" s="10">
        <f>Table2[[#This Row],[Order Quantity]]*Table2[[#This Row],[Price per Unit]]</f>
        <v>39209.759999999995</v>
      </c>
    </row>
    <row r="452" spans="1:11">
      <c r="A452" s="1" t="s">
        <v>471</v>
      </c>
      <c r="B452" s="1" t="s">
        <v>15</v>
      </c>
      <c r="C452" s="1" t="s">
        <v>45</v>
      </c>
      <c r="D452" s="10">
        <v>1487</v>
      </c>
      <c r="E452" s="10">
        <v>1521</v>
      </c>
      <c r="F452" s="4">
        <v>15</v>
      </c>
      <c r="G452" s="2">
        <v>45634</v>
      </c>
      <c r="H452" s="21">
        <f t="shared" si="7"/>
        <v>45627</v>
      </c>
      <c r="I452" s="26">
        <v>45637</v>
      </c>
      <c r="J452" s="3">
        <v>17.73</v>
      </c>
      <c r="K452" s="10">
        <f>Table2[[#This Row],[Order Quantity]]*Table2[[#This Row],[Price per Unit]]</f>
        <v>26364.510000000002</v>
      </c>
    </row>
    <row r="453" spans="1:11">
      <c r="A453" s="1" t="s">
        <v>472</v>
      </c>
      <c r="B453" s="1" t="s">
        <v>18</v>
      </c>
      <c r="C453" s="1" t="s">
        <v>20</v>
      </c>
      <c r="D453" s="10">
        <v>3552</v>
      </c>
      <c r="E453" s="10">
        <v>3638</v>
      </c>
      <c r="F453" s="4">
        <v>46</v>
      </c>
      <c r="G453" s="2">
        <v>45437</v>
      </c>
      <c r="H453" s="21">
        <f t="shared" si="7"/>
        <v>45413</v>
      </c>
      <c r="I453" s="26">
        <v>45437</v>
      </c>
      <c r="J453" s="3">
        <v>22.43</v>
      </c>
      <c r="K453" s="10">
        <f>Table2[[#This Row],[Order Quantity]]*Table2[[#This Row],[Price per Unit]]</f>
        <v>79671.360000000001</v>
      </c>
    </row>
    <row r="454" spans="1:11">
      <c r="A454" s="1" t="s">
        <v>473</v>
      </c>
      <c r="B454" s="1" t="s">
        <v>12</v>
      </c>
      <c r="C454" s="1" t="s">
        <v>20</v>
      </c>
      <c r="D454" s="10">
        <v>1489</v>
      </c>
      <c r="E454" s="10">
        <v>1518</v>
      </c>
      <c r="F454" s="4">
        <v>85</v>
      </c>
      <c r="G454" s="2">
        <v>45530</v>
      </c>
      <c r="H454" s="21">
        <f t="shared" si="7"/>
        <v>45505</v>
      </c>
      <c r="I454" s="26">
        <v>45531</v>
      </c>
      <c r="J454" s="3">
        <v>6.85</v>
      </c>
      <c r="K454" s="10">
        <f>Table2[[#This Row],[Order Quantity]]*Table2[[#This Row],[Price per Unit]]</f>
        <v>10199.65</v>
      </c>
    </row>
    <row r="455" spans="1:11">
      <c r="A455" s="1" t="s">
        <v>474</v>
      </c>
      <c r="B455" s="1" t="s">
        <v>12</v>
      </c>
      <c r="C455" s="1" t="s">
        <v>13</v>
      </c>
      <c r="D455" s="10">
        <v>1435</v>
      </c>
      <c r="E455" s="10">
        <v>1453</v>
      </c>
      <c r="F455" s="4">
        <v>21</v>
      </c>
      <c r="G455" s="2">
        <v>45434</v>
      </c>
      <c r="H455" s="21">
        <f t="shared" si="7"/>
        <v>45413</v>
      </c>
      <c r="I455" s="26">
        <v>45434</v>
      </c>
      <c r="J455" s="3">
        <v>6.6</v>
      </c>
      <c r="K455" s="10">
        <f>Table2[[#This Row],[Order Quantity]]*Table2[[#This Row],[Price per Unit]]</f>
        <v>9471</v>
      </c>
    </row>
    <row r="456" spans="1:11">
      <c r="A456" s="1" t="s">
        <v>475</v>
      </c>
      <c r="B456" s="1" t="s">
        <v>12</v>
      </c>
      <c r="C456" s="1" t="s">
        <v>22</v>
      </c>
      <c r="D456" s="10">
        <v>4506</v>
      </c>
      <c r="E456" s="10">
        <v>4334</v>
      </c>
      <c r="F456" s="4">
        <v>239</v>
      </c>
      <c r="G456" s="2">
        <v>45598</v>
      </c>
      <c r="H456" s="21">
        <f t="shared" si="7"/>
        <v>45597</v>
      </c>
      <c r="I456" s="26">
        <v>45598</v>
      </c>
      <c r="J456" s="3">
        <v>17.93</v>
      </c>
      <c r="K456" s="10">
        <f>Table2[[#This Row],[Order Quantity]]*Table2[[#This Row],[Price per Unit]]</f>
        <v>80792.58</v>
      </c>
    </row>
    <row r="457" spans="1:11">
      <c r="A457" s="1" t="s">
        <v>476</v>
      </c>
      <c r="B457" s="1" t="s">
        <v>27</v>
      </c>
      <c r="C457" s="1" t="s">
        <v>16</v>
      </c>
      <c r="D457" s="10">
        <v>2496</v>
      </c>
      <c r="E457" s="10">
        <v>2250</v>
      </c>
      <c r="F457" s="4">
        <v>122</v>
      </c>
      <c r="G457" s="2">
        <v>45330</v>
      </c>
      <c r="H457" s="21">
        <f t="shared" si="7"/>
        <v>45323</v>
      </c>
      <c r="I457" s="26">
        <v>45331</v>
      </c>
      <c r="J457" s="3">
        <v>23.27</v>
      </c>
      <c r="K457" s="10">
        <f>Table2[[#This Row],[Order Quantity]]*Table2[[#This Row],[Price per Unit]]</f>
        <v>58081.919999999998</v>
      </c>
    </row>
    <row r="458" spans="1:11">
      <c r="A458" s="1" t="s">
        <v>477</v>
      </c>
      <c r="B458" s="1" t="s">
        <v>18</v>
      </c>
      <c r="C458" s="1" t="s">
        <v>13</v>
      </c>
      <c r="D458" s="10">
        <v>1270</v>
      </c>
      <c r="E458" s="10">
        <v>1280</v>
      </c>
      <c r="F458" s="4">
        <v>23</v>
      </c>
      <c r="G458" s="2">
        <v>45457</v>
      </c>
      <c r="H458" s="21">
        <f t="shared" si="7"/>
        <v>45444</v>
      </c>
      <c r="I458" s="26">
        <v>45457</v>
      </c>
      <c r="J458" s="3">
        <v>23.05</v>
      </c>
      <c r="K458" s="10">
        <f>Table2[[#This Row],[Order Quantity]]*Table2[[#This Row],[Price per Unit]]</f>
        <v>29273.5</v>
      </c>
    </row>
    <row r="459" spans="1:11">
      <c r="A459" s="1" t="s">
        <v>478</v>
      </c>
      <c r="B459" s="1" t="s">
        <v>25</v>
      </c>
      <c r="C459" s="1" t="s">
        <v>20</v>
      </c>
      <c r="D459" s="10">
        <v>3921</v>
      </c>
      <c r="E459" s="10">
        <v>3612</v>
      </c>
      <c r="F459" s="4">
        <v>39</v>
      </c>
      <c r="G459" s="2">
        <v>45526</v>
      </c>
      <c r="H459" s="21">
        <f t="shared" si="7"/>
        <v>45505</v>
      </c>
      <c r="I459" s="26">
        <v>45526</v>
      </c>
      <c r="J459" s="3">
        <v>13.44</v>
      </c>
      <c r="K459" s="10">
        <f>Table2[[#This Row],[Order Quantity]]*Table2[[#This Row],[Price per Unit]]</f>
        <v>52698.239999999998</v>
      </c>
    </row>
    <row r="460" spans="1:11">
      <c r="A460" s="1" t="s">
        <v>479</v>
      </c>
      <c r="B460" s="1" t="s">
        <v>12</v>
      </c>
      <c r="C460" s="1" t="s">
        <v>13</v>
      </c>
      <c r="D460" s="10">
        <v>2498</v>
      </c>
      <c r="E460" s="10">
        <v>2264</v>
      </c>
      <c r="F460" s="4">
        <v>42</v>
      </c>
      <c r="G460" s="2">
        <v>45514</v>
      </c>
      <c r="H460" s="21">
        <f t="shared" si="7"/>
        <v>45505</v>
      </c>
      <c r="I460" s="26">
        <v>45514</v>
      </c>
      <c r="J460" s="3">
        <v>16.170000000000002</v>
      </c>
      <c r="K460" s="10">
        <f>Table2[[#This Row],[Order Quantity]]*Table2[[#This Row],[Price per Unit]]</f>
        <v>40392.660000000003</v>
      </c>
    </row>
    <row r="461" spans="1:11">
      <c r="A461" s="1" t="s">
        <v>480</v>
      </c>
      <c r="B461" s="1" t="s">
        <v>12</v>
      </c>
      <c r="C461" s="1" t="s">
        <v>22</v>
      </c>
      <c r="D461" s="10">
        <v>1931</v>
      </c>
      <c r="E461" s="10">
        <v>1926</v>
      </c>
      <c r="F461" s="4">
        <v>133</v>
      </c>
      <c r="G461" s="2">
        <v>45437</v>
      </c>
      <c r="H461" s="21">
        <f t="shared" si="7"/>
        <v>45413</v>
      </c>
      <c r="I461" s="26">
        <v>45438</v>
      </c>
      <c r="J461" s="3">
        <v>18.850000000000001</v>
      </c>
      <c r="K461" s="10">
        <f>Table2[[#This Row],[Order Quantity]]*Table2[[#This Row],[Price per Unit]]</f>
        <v>36399.350000000006</v>
      </c>
    </row>
    <row r="462" spans="1:11">
      <c r="A462" s="1" t="s">
        <v>481</v>
      </c>
      <c r="B462" s="1" t="s">
        <v>15</v>
      </c>
      <c r="C462" s="1" t="s">
        <v>20</v>
      </c>
      <c r="D462" s="10">
        <v>3158</v>
      </c>
      <c r="E462" s="10">
        <v>2878</v>
      </c>
      <c r="F462" s="4">
        <v>138</v>
      </c>
      <c r="G462" s="2">
        <v>45321</v>
      </c>
      <c r="H462" s="21">
        <f t="shared" si="7"/>
        <v>45292</v>
      </c>
      <c r="I462" s="26">
        <v>45322</v>
      </c>
      <c r="J462" s="3">
        <v>22.23</v>
      </c>
      <c r="K462" s="10">
        <f>Table2[[#This Row],[Order Quantity]]*Table2[[#This Row],[Price per Unit]]</f>
        <v>70202.34</v>
      </c>
    </row>
    <row r="463" spans="1:11">
      <c r="A463" s="1" t="s">
        <v>482</v>
      </c>
      <c r="B463" s="1" t="s">
        <v>27</v>
      </c>
      <c r="C463" s="1" t="s">
        <v>20</v>
      </c>
      <c r="D463" s="10">
        <v>3935</v>
      </c>
      <c r="E463" s="10">
        <v>4012</v>
      </c>
      <c r="F463" s="4">
        <v>271</v>
      </c>
      <c r="G463" s="2">
        <v>45626</v>
      </c>
      <c r="H463" s="21">
        <f t="shared" si="7"/>
        <v>45597</v>
      </c>
      <c r="I463" s="26">
        <v>45626</v>
      </c>
      <c r="J463" s="3">
        <v>22.15</v>
      </c>
      <c r="K463" s="10">
        <f>Table2[[#This Row],[Order Quantity]]*Table2[[#This Row],[Price per Unit]]</f>
        <v>87160.25</v>
      </c>
    </row>
    <row r="464" spans="1:11">
      <c r="A464" s="1" t="s">
        <v>483</v>
      </c>
      <c r="B464" s="1" t="s">
        <v>18</v>
      </c>
      <c r="C464" s="1" t="s">
        <v>13</v>
      </c>
      <c r="D464" s="10">
        <v>3634</v>
      </c>
      <c r="E464" s="10">
        <v>3324</v>
      </c>
      <c r="F464" s="4">
        <v>240</v>
      </c>
      <c r="G464" s="2">
        <v>45604</v>
      </c>
      <c r="H464" s="21">
        <f t="shared" si="7"/>
        <v>45597</v>
      </c>
      <c r="I464" s="26">
        <v>45607</v>
      </c>
      <c r="J464" s="3">
        <v>5.25</v>
      </c>
      <c r="K464" s="10">
        <f>Table2[[#This Row],[Order Quantity]]*Table2[[#This Row],[Price per Unit]]</f>
        <v>19078.5</v>
      </c>
    </row>
    <row r="465" spans="1:11">
      <c r="A465" s="1" t="s">
        <v>484</v>
      </c>
      <c r="B465" s="1" t="s">
        <v>18</v>
      </c>
      <c r="C465" s="1" t="s">
        <v>22</v>
      </c>
      <c r="D465" s="10">
        <v>2135</v>
      </c>
      <c r="E465" s="10">
        <v>2047</v>
      </c>
      <c r="F465" s="4">
        <v>95</v>
      </c>
      <c r="G465" s="2">
        <v>45447</v>
      </c>
      <c r="H465" s="21">
        <f t="shared" si="7"/>
        <v>45444</v>
      </c>
      <c r="I465" s="26">
        <v>45449</v>
      </c>
      <c r="J465" s="3">
        <v>15.23</v>
      </c>
      <c r="K465" s="10">
        <f>Table2[[#This Row],[Order Quantity]]*Table2[[#This Row],[Price per Unit]]</f>
        <v>32516.05</v>
      </c>
    </row>
    <row r="466" spans="1:11">
      <c r="A466" s="1" t="s">
        <v>485</v>
      </c>
      <c r="B466" s="1" t="s">
        <v>12</v>
      </c>
      <c r="C466" s="1" t="s">
        <v>16</v>
      </c>
      <c r="D466" s="10">
        <v>506</v>
      </c>
      <c r="E466" s="10">
        <v>466</v>
      </c>
      <c r="F466" s="4">
        <v>33</v>
      </c>
      <c r="G466" s="2">
        <v>45439</v>
      </c>
      <c r="H466" s="21">
        <f t="shared" si="7"/>
        <v>45413</v>
      </c>
      <c r="I466" s="26">
        <v>45439</v>
      </c>
      <c r="J466" s="3">
        <v>11.92</v>
      </c>
      <c r="K466" s="10">
        <f>Table2[[#This Row],[Order Quantity]]*Table2[[#This Row],[Price per Unit]]</f>
        <v>6031.5199999999995</v>
      </c>
    </row>
    <row r="467" spans="1:11">
      <c r="A467" s="1" t="s">
        <v>486</v>
      </c>
      <c r="B467" s="1" t="s">
        <v>18</v>
      </c>
      <c r="C467" s="1" t="s">
        <v>13</v>
      </c>
      <c r="D467" s="10">
        <v>3773</v>
      </c>
      <c r="E467" s="10">
        <v>3761</v>
      </c>
      <c r="F467" s="4">
        <v>205</v>
      </c>
      <c r="G467" s="2">
        <v>45417</v>
      </c>
      <c r="H467" s="21">
        <f t="shared" si="7"/>
        <v>45413</v>
      </c>
      <c r="I467" s="26">
        <v>45417</v>
      </c>
      <c r="J467" s="3">
        <v>11.81</v>
      </c>
      <c r="K467" s="10">
        <f>Table2[[#This Row],[Order Quantity]]*Table2[[#This Row],[Price per Unit]]</f>
        <v>44559.130000000005</v>
      </c>
    </row>
    <row r="468" spans="1:11">
      <c r="A468" s="1" t="s">
        <v>487</v>
      </c>
      <c r="B468" s="1" t="s">
        <v>15</v>
      </c>
      <c r="C468" s="1" t="s">
        <v>16</v>
      </c>
      <c r="D468" s="10">
        <v>3428</v>
      </c>
      <c r="E468" s="10">
        <v>3433</v>
      </c>
      <c r="F468" s="4">
        <v>179</v>
      </c>
      <c r="G468" s="2">
        <v>45407</v>
      </c>
      <c r="H468" s="21">
        <f t="shared" si="7"/>
        <v>45413</v>
      </c>
      <c r="I468" s="26">
        <v>45414</v>
      </c>
      <c r="J468" s="3">
        <v>12.29</v>
      </c>
      <c r="K468" s="10">
        <f>Table2[[#This Row],[Order Quantity]]*Table2[[#This Row],[Price per Unit]]</f>
        <v>42130.119999999995</v>
      </c>
    </row>
    <row r="469" spans="1:11">
      <c r="A469" s="1" t="s">
        <v>488</v>
      </c>
      <c r="B469" s="1" t="s">
        <v>12</v>
      </c>
      <c r="C469" s="1" t="s">
        <v>45</v>
      </c>
      <c r="D469" s="10">
        <v>3775</v>
      </c>
      <c r="E469" s="10">
        <v>3714</v>
      </c>
      <c r="F469" s="4">
        <v>64</v>
      </c>
      <c r="G469" s="2">
        <v>45616</v>
      </c>
      <c r="H469" s="21">
        <f t="shared" si="7"/>
        <v>45597</v>
      </c>
      <c r="I469" s="26">
        <v>45619</v>
      </c>
      <c r="J469" s="3">
        <v>8.35</v>
      </c>
      <c r="K469" s="10">
        <f>Table2[[#This Row],[Order Quantity]]*Table2[[#This Row],[Price per Unit]]</f>
        <v>31521.25</v>
      </c>
    </row>
    <row r="470" spans="1:11">
      <c r="A470" s="1" t="s">
        <v>489</v>
      </c>
      <c r="B470" s="1" t="s">
        <v>27</v>
      </c>
      <c r="C470" s="1" t="s">
        <v>16</v>
      </c>
      <c r="D470" s="10">
        <v>1899</v>
      </c>
      <c r="E470" s="10">
        <v>1987</v>
      </c>
      <c r="F470" s="4">
        <v>93</v>
      </c>
      <c r="G470" s="2">
        <v>45445</v>
      </c>
      <c r="H470" s="21">
        <f t="shared" si="7"/>
        <v>45444</v>
      </c>
      <c r="I470" s="26">
        <v>45445</v>
      </c>
      <c r="J470" s="3">
        <v>7.72</v>
      </c>
      <c r="K470" s="10">
        <f>Table2[[#This Row],[Order Quantity]]*Table2[[#This Row],[Price per Unit]]</f>
        <v>14660.279999999999</v>
      </c>
    </row>
    <row r="471" spans="1:11">
      <c r="A471" s="1" t="s">
        <v>490</v>
      </c>
      <c r="B471" s="1" t="s">
        <v>25</v>
      </c>
      <c r="C471" s="1" t="s">
        <v>13</v>
      </c>
      <c r="D471" s="10">
        <v>4958</v>
      </c>
      <c r="E471" s="10">
        <v>4750</v>
      </c>
      <c r="F471" s="4">
        <v>100</v>
      </c>
      <c r="G471" s="2">
        <v>45606</v>
      </c>
      <c r="H471" s="21">
        <f t="shared" si="7"/>
        <v>45597</v>
      </c>
      <c r="I471" s="26">
        <v>45608</v>
      </c>
      <c r="J471" s="3">
        <v>5.47</v>
      </c>
      <c r="K471" s="10">
        <f>Table2[[#This Row],[Order Quantity]]*Table2[[#This Row],[Price per Unit]]</f>
        <v>27120.26</v>
      </c>
    </row>
    <row r="472" spans="1:11">
      <c r="A472" s="1" t="s">
        <v>491</v>
      </c>
      <c r="B472" s="1" t="s">
        <v>18</v>
      </c>
      <c r="C472" s="1" t="s">
        <v>16</v>
      </c>
      <c r="D472" s="10">
        <v>1410</v>
      </c>
      <c r="E472" s="10">
        <v>1372</v>
      </c>
      <c r="F472" s="4">
        <v>26</v>
      </c>
      <c r="G472" s="2">
        <v>45328</v>
      </c>
      <c r="H472" s="21">
        <f t="shared" si="7"/>
        <v>45323</v>
      </c>
      <c r="I472" s="26">
        <v>45328</v>
      </c>
      <c r="J472" s="3">
        <v>21.71</v>
      </c>
      <c r="K472" s="10">
        <f>Table2[[#This Row],[Order Quantity]]*Table2[[#This Row],[Price per Unit]]</f>
        <v>30611.100000000002</v>
      </c>
    </row>
    <row r="473" spans="1:11">
      <c r="A473" s="1" t="s">
        <v>492</v>
      </c>
      <c r="B473" s="1" t="s">
        <v>12</v>
      </c>
      <c r="C473" s="1" t="s">
        <v>13</v>
      </c>
      <c r="D473" s="10">
        <v>623</v>
      </c>
      <c r="E473" s="10">
        <v>590</v>
      </c>
      <c r="F473" s="4">
        <v>42</v>
      </c>
      <c r="G473" s="2">
        <v>45492</v>
      </c>
      <c r="H473" s="21">
        <f t="shared" si="7"/>
        <v>45474</v>
      </c>
      <c r="I473" s="26">
        <v>45492</v>
      </c>
      <c r="J473" s="3">
        <v>17.059999999999999</v>
      </c>
      <c r="K473" s="10">
        <f>Table2[[#This Row],[Order Quantity]]*Table2[[#This Row],[Price per Unit]]</f>
        <v>10628.38</v>
      </c>
    </row>
    <row r="474" spans="1:11">
      <c r="A474" s="1" t="s">
        <v>493</v>
      </c>
      <c r="B474" s="1" t="s">
        <v>25</v>
      </c>
      <c r="C474" s="1" t="s">
        <v>13</v>
      </c>
      <c r="D474" s="10">
        <v>1296</v>
      </c>
      <c r="E474" s="10">
        <v>1222</v>
      </c>
      <c r="F474" s="4">
        <v>94</v>
      </c>
      <c r="G474" s="2">
        <v>45400</v>
      </c>
      <c r="H474" s="21">
        <f t="shared" si="7"/>
        <v>45383</v>
      </c>
      <c r="I474" s="26">
        <v>45407</v>
      </c>
      <c r="J474" s="3">
        <v>12.79</v>
      </c>
      <c r="K474" s="10">
        <f>Table2[[#This Row],[Order Quantity]]*Table2[[#This Row],[Price per Unit]]</f>
        <v>16575.84</v>
      </c>
    </row>
    <row r="475" spans="1:11">
      <c r="A475" s="1" t="s">
        <v>494</v>
      </c>
      <c r="B475" s="1" t="s">
        <v>25</v>
      </c>
      <c r="C475" s="1" t="s">
        <v>22</v>
      </c>
      <c r="D475" s="10">
        <v>1801</v>
      </c>
      <c r="E475" s="10">
        <v>1767</v>
      </c>
      <c r="F475" s="4">
        <v>36</v>
      </c>
      <c r="G475" s="2">
        <v>45453</v>
      </c>
      <c r="H475" s="21">
        <f t="shared" si="7"/>
        <v>45444</v>
      </c>
      <c r="I475" s="26">
        <v>45455</v>
      </c>
      <c r="J475" s="3">
        <v>16.07</v>
      </c>
      <c r="K475" s="10">
        <f>Table2[[#This Row],[Order Quantity]]*Table2[[#This Row],[Price per Unit]]</f>
        <v>28942.07</v>
      </c>
    </row>
    <row r="476" spans="1:11">
      <c r="A476" s="1" t="s">
        <v>495</v>
      </c>
      <c r="B476" s="1" t="s">
        <v>15</v>
      </c>
      <c r="C476" s="1" t="s">
        <v>16</v>
      </c>
      <c r="D476" s="10">
        <v>2890</v>
      </c>
      <c r="E476" s="10">
        <v>2791</v>
      </c>
      <c r="F476" s="4">
        <v>86</v>
      </c>
      <c r="G476" s="2">
        <v>45342</v>
      </c>
      <c r="H476" s="21">
        <f t="shared" si="7"/>
        <v>45323</v>
      </c>
      <c r="I476" s="26">
        <v>45342</v>
      </c>
      <c r="J476" s="3">
        <v>10.19</v>
      </c>
      <c r="K476" s="10">
        <f>Table2[[#This Row],[Order Quantity]]*Table2[[#This Row],[Price per Unit]]</f>
        <v>29449.1</v>
      </c>
    </row>
    <row r="477" spans="1:11">
      <c r="A477" s="1" t="s">
        <v>496</v>
      </c>
      <c r="B477" s="1" t="s">
        <v>27</v>
      </c>
      <c r="C477" s="1" t="s">
        <v>22</v>
      </c>
      <c r="D477" s="10">
        <v>840</v>
      </c>
      <c r="E477" s="10">
        <v>799</v>
      </c>
      <c r="F477" s="4">
        <v>23</v>
      </c>
      <c r="G477" s="2">
        <v>45650</v>
      </c>
      <c r="H477" s="21">
        <f t="shared" si="7"/>
        <v>45627</v>
      </c>
      <c r="I477" s="26">
        <v>45651</v>
      </c>
      <c r="J477" s="3">
        <v>24.33</v>
      </c>
      <c r="K477" s="10">
        <f>Table2[[#This Row],[Order Quantity]]*Table2[[#This Row],[Price per Unit]]</f>
        <v>20437.199999999997</v>
      </c>
    </row>
    <row r="478" spans="1:11">
      <c r="A478" s="1" t="s">
        <v>497</v>
      </c>
      <c r="B478" s="1" t="s">
        <v>12</v>
      </c>
      <c r="C478" s="1" t="s">
        <v>16</v>
      </c>
      <c r="D478" s="10">
        <v>2022</v>
      </c>
      <c r="E478" s="10">
        <v>1869</v>
      </c>
      <c r="F478" s="4">
        <v>94</v>
      </c>
      <c r="G478" s="2">
        <v>45402</v>
      </c>
      <c r="H478" s="21">
        <f t="shared" si="7"/>
        <v>45383</v>
      </c>
      <c r="I478" s="26">
        <v>45402</v>
      </c>
      <c r="J478" s="3">
        <v>24.99</v>
      </c>
      <c r="K478" s="10">
        <f>Table2[[#This Row],[Order Quantity]]*Table2[[#This Row],[Price per Unit]]</f>
        <v>50529.78</v>
      </c>
    </row>
    <row r="479" spans="1:11">
      <c r="A479" s="1" t="s">
        <v>498</v>
      </c>
      <c r="B479" s="1" t="s">
        <v>18</v>
      </c>
      <c r="C479" s="1" t="s">
        <v>16</v>
      </c>
      <c r="D479" s="10">
        <v>2686</v>
      </c>
      <c r="E479" s="10">
        <v>2500</v>
      </c>
      <c r="F479" s="4">
        <v>161</v>
      </c>
      <c r="G479" s="2">
        <v>45629</v>
      </c>
      <c r="H479" s="21">
        <f t="shared" si="7"/>
        <v>45627</v>
      </c>
      <c r="I479" s="26">
        <v>45636</v>
      </c>
      <c r="J479" s="3">
        <v>19.690000000000001</v>
      </c>
      <c r="K479" s="10">
        <f>Table2[[#This Row],[Order Quantity]]*Table2[[#This Row],[Price per Unit]]</f>
        <v>52887.340000000004</v>
      </c>
    </row>
    <row r="480" spans="1:11">
      <c r="A480" s="1" t="s">
        <v>499</v>
      </c>
      <c r="B480" s="1" t="s">
        <v>15</v>
      </c>
      <c r="C480" s="1" t="s">
        <v>45</v>
      </c>
      <c r="D480" s="10">
        <v>1737</v>
      </c>
      <c r="E480" s="10">
        <v>1711</v>
      </c>
      <c r="F480" s="4">
        <v>91</v>
      </c>
      <c r="G480" s="2">
        <v>45632</v>
      </c>
      <c r="H480" s="21">
        <f t="shared" si="7"/>
        <v>45627</v>
      </c>
      <c r="I480" s="26">
        <v>45639</v>
      </c>
      <c r="J480" s="3">
        <v>9.0299999999999994</v>
      </c>
      <c r="K480" s="10">
        <f>Table2[[#This Row],[Order Quantity]]*Table2[[#This Row],[Price per Unit]]</f>
        <v>15685.109999999999</v>
      </c>
    </row>
    <row r="481" spans="1:11">
      <c r="A481" s="1" t="s">
        <v>500</v>
      </c>
      <c r="B481" s="1" t="s">
        <v>25</v>
      </c>
      <c r="C481" s="1" t="s">
        <v>45</v>
      </c>
      <c r="D481" s="10">
        <v>1807</v>
      </c>
      <c r="E481" s="10">
        <v>1857</v>
      </c>
      <c r="F481" s="4">
        <v>110</v>
      </c>
      <c r="G481" s="2">
        <v>45355</v>
      </c>
      <c r="H481" s="21">
        <f t="shared" si="7"/>
        <v>45352</v>
      </c>
      <c r="I481" s="26">
        <v>45355</v>
      </c>
      <c r="J481" s="3">
        <v>23.14</v>
      </c>
      <c r="K481" s="10">
        <f>Table2[[#This Row],[Order Quantity]]*Table2[[#This Row],[Price per Unit]]</f>
        <v>41813.980000000003</v>
      </c>
    </row>
    <row r="482" spans="1:11">
      <c r="A482" s="1" t="s">
        <v>501</v>
      </c>
      <c r="B482" s="1" t="s">
        <v>27</v>
      </c>
      <c r="C482" s="1" t="s">
        <v>16</v>
      </c>
      <c r="D482" s="10">
        <v>1640</v>
      </c>
      <c r="E482" s="10">
        <v>1623</v>
      </c>
      <c r="F482" s="4">
        <v>56</v>
      </c>
      <c r="G482" s="2">
        <v>45537</v>
      </c>
      <c r="H482" s="21">
        <f t="shared" si="7"/>
        <v>45536</v>
      </c>
      <c r="I482" s="26">
        <v>45539</v>
      </c>
      <c r="J482" s="3">
        <v>14.17</v>
      </c>
      <c r="K482" s="10">
        <f>Table2[[#This Row],[Order Quantity]]*Table2[[#This Row],[Price per Unit]]</f>
        <v>23238.799999999999</v>
      </c>
    </row>
    <row r="483" spans="1:11">
      <c r="A483" s="1" t="s">
        <v>502</v>
      </c>
      <c r="B483" s="1" t="s">
        <v>25</v>
      </c>
      <c r="C483" s="1" t="s">
        <v>16</v>
      </c>
      <c r="D483" s="10">
        <v>4329</v>
      </c>
      <c r="E483" s="10">
        <v>4409</v>
      </c>
      <c r="F483" s="4">
        <v>82</v>
      </c>
      <c r="G483" s="2">
        <v>45311</v>
      </c>
      <c r="H483" s="21">
        <f t="shared" si="7"/>
        <v>45292</v>
      </c>
      <c r="I483" s="26">
        <v>45311</v>
      </c>
      <c r="J483" s="3">
        <v>20.88</v>
      </c>
      <c r="K483" s="10">
        <f>Table2[[#This Row],[Order Quantity]]*Table2[[#This Row],[Price per Unit]]</f>
        <v>90389.51999999999</v>
      </c>
    </row>
    <row r="484" spans="1:11">
      <c r="A484" s="1" t="s">
        <v>503</v>
      </c>
      <c r="B484" s="1" t="s">
        <v>12</v>
      </c>
      <c r="C484" s="1" t="s">
        <v>16</v>
      </c>
      <c r="D484" s="10">
        <v>1057</v>
      </c>
      <c r="E484" s="10">
        <v>956</v>
      </c>
      <c r="F484" s="4">
        <v>74</v>
      </c>
      <c r="G484" s="2">
        <v>45445</v>
      </c>
      <c r="H484" s="21">
        <f t="shared" si="7"/>
        <v>45444</v>
      </c>
      <c r="I484" s="26">
        <v>45452</v>
      </c>
      <c r="J484" s="3">
        <v>23.98</v>
      </c>
      <c r="K484" s="10">
        <f>Table2[[#This Row],[Order Quantity]]*Table2[[#This Row],[Price per Unit]]</f>
        <v>25346.86</v>
      </c>
    </row>
    <row r="485" spans="1:11">
      <c r="A485" s="1" t="s">
        <v>504</v>
      </c>
      <c r="B485" s="1" t="s">
        <v>27</v>
      </c>
      <c r="C485" s="1" t="s">
        <v>16</v>
      </c>
      <c r="D485" s="10">
        <v>3167</v>
      </c>
      <c r="E485" s="10">
        <v>3079</v>
      </c>
      <c r="F485" s="4">
        <v>216</v>
      </c>
      <c r="G485" s="2">
        <v>45541</v>
      </c>
      <c r="H485" s="21">
        <f t="shared" si="7"/>
        <v>45536</v>
      </c>
      <c r="I485" s="26">
        <v>45542</v>
      </c>
      <c r="J485" s="3">
        <v>16.77</v>
      </c>
      <c r="K485" s="10">
        <f>Table2[[#This Row],[Order Quantity]]*Table2[[#This Row],[Price per Unit]]</f>
        <v>53110.59</v>
      </c>
    </row>
    <row r="486" spans="1:11">
      <c r="A486" s="1" t="s">
        <v>505</v>
      </c>
      <c r="B486" s="1" t="s">
        <v>25</v>
      </c>
      <c r="C486" s="1" t="s">
        <v>13</v>
      </c>
      <c r="D486" s="10">
        <v>2110</v>
      </c>
      <c r="E486" s="10">
        <v>1963</v>
      </c>
      <c r="F486" s="4">
        <v>124</v>
      </c>
      <c r="G486" s="2">
        <v>45494</v>
      </c>
      <c r="H486" s="21">
        <f t="shared" si="7"/>
        <v>45474</v>
      </c>
      <c r="I486" s="26">
        <v>45501</v>
      </c>
      <c r="J486" s="3">
        <v>12.73</v>
      </c>
      <c r="K486" s="10">
        <f>Table2[[#This Row],[Order Quantity]]*Table2[[#This Row],[Price per Unit]]</f>
        <v>26860.3</v>
      </c>
    </row>
    <row r="487" spans="1:11">
      <c r="A487" s="1" t="s">
        <v>506</v>
      </c>
      <c r="B487" s="1" t="s">
        <v>15</v>
      </c>
      <c r="C487" s="1" t="s">
        <v>22</v>
      </c>
      <c r="D487" s="10">
        <v>3308</v>
      </c>
      <c r="E487" s="10">
        <v>3156</v>
      </c>
      <c r="F487" s="4">
        <v>191</v>
      </c>
      <c r="G487" s="2">
        <v>45510</v>
      </c>
      <c r="H487" s="21">
        <f t="shared" si="7"/>
        <v>45505</v>
      </c>
      <c r="I487" s="26">
        <v>45510</v>
      </c>
      <c r="J487" s="3">
        <v>22.89</v>
      </c>
      <c r="K487" s="10">
        <f>Table2[[#This Row],[Order Quantity]]*Table2[[#This Row],[Price per Unit]]</f>
        <v>75720.12</v>
      </c>
    </row>
    <row r="488" spans="1:11">
      <c r="A488" s="1" t="s">
        <v>507</v>
      </c>
      <c r="B488" s="1" t="s">
        <v>25</v>
      </c>
      <c r="C488" s="1" t="s">
        <v>45</v>
      </c>
      <c r="D488" s="10">
        <v>2470</v>
      </c>
      <c r="E488" s="10">
        <v>2446</v>
      </c>
      <c r="F488" s="4">
        <v>125</v>
      </c>
      <c r="G488" s="2">
        <v>45454</v>
      </c>
      <c r="H488" s="21">
        <f t="shared" si="7"/>
        <v>45444</v>
      </c>
      <c r="I488" s="26">
        <v>45461</v>
      </c>
      <c r="J488" s="3">
        <v>21.13</v>
      </c>
      <c r="K488" s="10">
        <f>Table2[[#This Row],[Order Quantity]]*Table2[[#This Row],[Price per Unit]]</f>
        <v>52191.1</v>
      </c>
    </row>
    <row r="489" spans="1:11">
      <c r="A489" s="1" t="s">
        <v>508</v>
      </c>
      <c r="B489" s="1" t="s">
        <v>18</v>
      </c>
      <c r="C489" s="1" t="s">
        <v>20</v>
      </c>
      <c r="D489" s="10">
        <v>3058</v>
      </c>
      <c r="E489" s="10">
        <v>2802</v>
      </c>
      <c r="F489" s="4">
        <v>195</v>
      </c>
      <c r="G489" s="2">
        <v>45516</v>
      </c>
      <c r="H489" s="21">
        <f t="shared" si="7"/>
        <v>45505</v>
      </c>
      <c r="I489" s="26">
        <v>45523</v>
      </c>
      <c r="J489" s="3">
        <v>13.78</v>
      </c>
      <c r="K489" s="10">
        <f>Table2[[#This Row],[Order Quantity]]*Table2[[#This Row],[Price per Unit]]</f>
        <v>42139.24</v>
      </c>
    </row>
    <row r="490" spans="1:11">
      <c r="A490" s="1" t="s">
        <v>509</v>
      </c>
      <c r="B490" s="1" t="s">
        <v>25</v>
      </c>
      <c r="C490" s="1" t="s">
        <v>16</v>
      </c>
      <c r="D490" s="10">
        <v>2990</v>
      </c>
      <c r="E490" s="10">
        <v>2704</v>
      </c>
      <c r="F490" s="4">
        <v>210</v>
      </c>
      <c r="G490" s="2">
        <v>45499</v>
      </c>
      <c r="H490" s="21">
        <f t="shared" si="7"/>
        <v>45474</v>
      </c>
      <c r="I490" s="26">
        <v>45499</v>
      </c>
      <c r="J490" s="3">
        <v>9.41</v>
      </c>
      <c r="K490" s="10">
        <f>Table2[[#This Row],[Order Quantity]]*Table2[[#This Row],[Price per Unit]]</f>
        <v>28135.9</v>
      </c>
    </row>
    <row r="491" spans="1:11">
      <c r="A491" s="1" t="s">
        <v>510</v>
      </c>
      <c r="B491" s="1" t="s">
        <v>15</v>
      </c>
      <c r="C491" s="1" t="s">
        <v>13</v>
      </c>
      <c r="D491" s="10">
        <v>3027</v>
      </c>
      <c r="E491" s="10">
        <v>3146</v>
      </c>
      <c r="F491" s="4">
        <v>38</v>
      </c>
      <c r="G491" s="2">
        <v>45589</v>
      </c>
      <c r="H491" s="21">
        <f t="shared" si="7"/>
        <v>45566</v>
      </c>
      <c r="I491" s="26">
        <v>45596</v>
      </c>
      <c r="J491" s="3">
        <v>22.44</v>
      </c>
      <c r="K491" s="10">
        <f>Table2[[#This Row],[Order Quantity]]*Table2[[#This Row],[Price per Unit]]</f>
        <v>67925.88</v>
      </c>
    </row>
    <row r="492" spans="1:11">
      <c r="A492" s="1" t="s">
        <v>511</v>
      </c>
      <c r="B492" s="1" t="s">
        <v>25</v>
      </c>
      <c r="C492" s="1" t="s">
        <v>22</v>
      </c>
      <c r="D492" s="10">
        <v>4721</v>
      </c>
      <c r="E492" s="10">
        <v>4705</v>
      </c>
      <c r="F492" s="4">
        <v>317</v>
      </c>
      <c r="G492" s="2">
        <v>45326</v>
      </c>
      <c r="H492" s="21">
        <f t="shared" si="7"/>
        <v>45323</v>
      </c>
      <c r="I492" s="26">
        <v>45333</v>
      </c>
      <c r="J492" s="3">
        <v>11.67</v>
      </c>
      <c r="K492" s="10">
        <f>Table2[[#This Row],[Order Quantity]]*Table2[[#This Row],[Price per Unit]]</f>
        <v>55094.07</v>
      </c>
    </row>
    <row r="493" spans="1:11">
      <c r="A493" s="1" t="s">
        <v>512</v>
      </c>
      <c r="B493" s="1" t="s">
        <v>18</v>
      </c>
      <c r="C493" s="1" t="s">
        <v>45</v>
      </c>
      <c r="D493" s="10">
        <v>1809</v>
      </c>
      <c r="E493" s="10">
        <v>1887</v>
      </c>
      <c r="F493" s="4">
        <v>20</v>
      </c>
      <c r="G493" s="2">
        <v>45555</v>
      </c>
      <c r="H493" s="21">
        <f t="shared" si="7"/>
        <v>45536</v>
      </c>
      <c r="I493" s="26">
        <v>45555</v>
      </c>
      <c r="J493" s="3">
        <v>24.96</v>
      </c>
      <c r="K493" s="10">
        <f>Table2[[#This Row],[Order Quantity]]*Table2[[#This Row],[Price per Unit]]</f>
        <v>45152.639999999999</v>
      </c>
    </row>
    <row r="494" spans="1:11">
      <c r="A494" s="1" t="s">
        <v>513</v>
      </c>
      <c r="B494" s="1" t="s">
        <v>27</v>
      </c>
      <c r="C494" s="1" t="s">
        <v>16</v>
      </c>
      <c r="D494" s="10">
        <v>4708</v>
      </c>
      <c r="E494" s="10">
        <v>4300</v>
      </c>
      <c r="F494" s="4">
        <v>43</v>
      </c>
      <c r="G494" s="2">
        <v>45583</v>
      </c>
      <c r="H494" s="21">
        <f t="shared" si="7"/>
        <v>45566</v>
      </c>
      <c r="I494" s="26">
        <v>45583</v>
      </c>
      <c r="J494" s="3">
        <v>5.88</v>
      </c>
      <c r="K494" s="10">
        <f>Table2[[#This Row],[Order Quantity]]*Table2[[#This Row],[Price per Unit]]</f>
        <v>27683.040000000001</v>
      </c>
    </row>
    <row r="495" spans="1:11">
      <c r="A495" s="1" t="s">
        <v>514</v>
      </c>
      <c r="B495" s="1" t="s">
        <v>12</v>
      </c>
      <c r="C495" s="1" t="s">
        <v>22</v>
      </c>
      <c r="D495" s="10">
        <v>2072</v>
      </c>
      <c r="E495" s="10">
        <v>2094</v>
      </c>
      <c r="F495" s="4">
        <v>41</v>
      </c>
      <c r="G495" s="2">
        <v>45479</v>
      </c>
      <c r="H495" s="21">
        <f t="shared" si="7"/>
        <v>45474</v>
      </c>
      <c r="I495" s="26">
        <v>45486</v>
      </c>
      <c r="J495" s="3">
        <v>20.07</v>
      </c>
      <c r="K495" s="10">
        <f>Table2[[#This Row],[Order Quantity]]*Table2[[#This Row],[Price per Unit]]</f>
        <v>41585.040000000001</v>
      </c>
    </row>
    <row r="496" spans="1:11">
      <c r="A496" s="1" t="s">
        <v>515</v>
      </c>
      <c r="B496" s="1" t="s">
        <v>27</v>
      </c>
      <c r="C496" s="1" t="s">
        <v>13</v>
      </c>
      <c r="D496" s="10">
        <v>700</v>
      </c>
      <c r="E496" s="10">
        <v>710</v>
      </c>
      <c r="F496" s="4">
        <v>49</v>
      </c>
      <c r="G496" s="2">
        <v>45395</v>
      </c>
      <c r="H496" s="21">
        <f t="shared" si="7"/>
        <v>45383</v>
      </c>
      <c r="I496" s="26">
        <v>45400</v>
      </c>
      <c r="J496" s="3">
        <v>17.27</v>
      </c>
      <c r="K496" s="10">
        <f>Table2[[#This Row],[Order Quantity]]*Table2[[#This Row],[Price per Unit]]</f>
        <v>12089</v>
      </c>
    </row>
    <row r="497" spans="1:11">
      <c r="A497" s="1" t="s">
        <v>516</v>
      </c>
      <c r="B497" s="1" t="s">
        <v>25</v>
      </c>
      <c r="C497" s="1" t="s">
        <v>20</v>
      </c>
      <c r="D497" s="10">
        <v>3836</v>
      </c>
      <c r="E497" s="10">
        <v>3868</v>
      </c>
      <c r="F497" s="4">
        <v>114</v>
      </c>
      <c r="G497" s="2">
        <v>45649</v>
      </c>
      <c r="H497" s="21">
        <f t="shared" si="7"/>
        <v>45627</v>
      </c>
      <c r="I497" s="26">
        <v>45649</v>
      </c>
      <c r="J497" s="3">
        <v>18.75</v>
      </c>
      <c r="K497" s="10">
        <f>Table2[[#This Row],[Order Quantity]]*Table2[[#This Row],[Price per Unit]]</f>
        <v>71925</v>
      </c>
    </row>
    <row r="498" spans="1:11">
      <c r="A498" s="1" t="s">
        <v>517</v>
      </c>
      <c r="B498" s="1" t="s">
        <v>27</v>
      </c>
      <c r="C498" s="1" t="s">
        <v>20</v>
      </c>
      <c r="D498" s="10">
        <v>3926</v>
      </c>
      <c r="E498" s="10">
        <v>3856</v>
      </c>
      <c r="F498" s="4">
        <v>209</v>
      </c>
      <c r="G498" s="2">
        <v>45581</v>
      </c>
      <c r="H498" s="21">
        <f t="shared" si="7"/>
        <v>45566</v>
      </c>
      <c r="I498" s="26">
        <v>45583</v>
      </c>
      <c r="J498" s="3">
        <v>16.54</v>
      </c>
      <c r="K498" s="10">
        <f>Table2[[#This Row],[Order Quantity]]*Table2[[#This Row],[Price per Unit]]</f>
        <v>64936.039999999994</v>
      </c>
    </row>
    <row r="499" spans="1:11">
      <c r="A499" s="1" t="s">
        <v>518</v>
      </c>
      <c r="B499" s="1" t="s">
        <v>12</v>
      </c>
      <c r="C499" s="1" t="s">
        <v>16</v>
      </c>
      <c r="D499" s="10">
        <v>4144</v>
      </c>
      <c r="E499" s="10">
        <v>3792</v>
      </c>
      <c r="F499" s="4">
        <v>268</v>
      </c>
      <c r="G499" s="2">
        <v>45436</v>
      </c>
      <c r="H499" s="21">
        <f t="shared" si="7"/>
        <v>45413</v>
      </c>
      <c r="I499" s="26">
        <v>45441</v>
      </c>
      <c r="J499" s="3">
        <v>18.63</v>
      </c>
      <c r="K499" s="10">
        <f>Table2[[#This Row],[Order Quantity]]*Table2[[#This Row],[Price per Unit]]</f>
        <v>77202.720000000001</v>
      </c>
    </row>
    <row r="500" spans="1:11">
      <c r="A500" s="1" t="s">
        <v>519</v>
      </c>
      <c r="B500" s="1" t="s">
        <v>12</v>
      </c>
      <c r="C500" s="1" t="s">
        <v>22</v>
      </c>
      <c r="D500" s="10">
        <v>4757</v>
      </c>
      <c r="E500" s="10">
        <v>4848</v>
      </c>
      <c r="F500" s="4">
        <v>288</v>
      </c>
      <c r="G500" s="2">
        <v>45304</v>
      </c>
      <c r="H500" s="21">
        <f t="shared" si="7"/>
        <v>45292</v>
      </c>
      <c r="I500" s="26">
        <v>45311</v>
      </c>
      <c r="J500" s="3">
        <v>6</v>
      </c>
      <c r="K500" s="10">
        <f>Table2[[#This Row],[Order Quantity]]*Table2[[#This Row],[Price per Unit]]</f>
        <v>28542</v>
      </c>
    </row>
    <row r="501" spans="1:11">
      <c r="A501" s="1" t="s">
        <v>520</v>
      </c>
      <c r="B501" s="1" t="s">
        <v>12</v>
      </c>
      <c r="C501" s="1" t="s">
        <v>22</v>
      </c>
      <c r="D501" s="10">
        <v>2658</v>
      </c>
      <c r="E501" s="10">
        <v>2476</v>
      </c>
      <c r="F501" s="4">
        <v>174</v>
      </c>
      <c r="G501" s="2">
        <v>45506</v>
      </c>
      <c r="H501" s="21">
        <f t="shared" si="7"/>
        <v>45505</v>
      </c>
      <c r="I501" s="26">
        <v>45509</v>
      </c>
      <c r="J501" s="3">
        <v>13.03</v>
      </c>
      <c r="K501" s="10">
        <f>Table2[[#This Row],[Order Quantity]]*Table2[[#This Row],[Price per Unit]]</f>
        <v>34633.74</v>
      </c>
    </row>
    <row r="502" spans="1:11">
      <c r="A502" s="1" t="s">
        <v>521</v>
      </c>
      <c r="B502" s="1" t="s">
        <v>15</v>
      </c>
      <c r="C502" s="1" t="s">
        <v>45</v>
      </c>
      <c r="D502" s="10">
        <v>4465</v>
      </c>
      <c r="E502" s="10">
        <v>4196</v>
      </c>
      <c r="F502" s="4">
        <v>48</v>
      </c>
      <c r="G502" s="2">
        <v>45586</v>
      </c>
      <c r="H502" s="21">
        <f t="shared" si="7"/>
        <v>45566</v>
      </c>
      <c r="I502" s="26">
        <v>45586</v>
      </c>
      <c r="J502" s="3">
        <v>16.670000000000002</v>
      </c>
      <c r="K502" s="10">
        <f>Table2[[#This Row],[Order Quantity]]*Table2[[#This Row],[Price per Unit]]</f>
        <v>74431.55</v>
      </c>
    </row>
    <row r="503" spans="1:11">
      <c r="A503" s="1" t="s">
        <v>522</v>
      </c>
      <c r="B503" s="1" t="s">
        <v>18</v>
      </c>
      <c r="C503" s="1" t="s">
        <v>13</v>
      </c>
      <c r="D503" s="10">
        <v>936</v>
      </c>
      <c r="E503" s="10">
        <v>847</v>
      </c>
      <c r="F503" s="4">
        <v>21</v>
      </c>
      <c r="G503" s="2">
        <v>45572</v>
      </c>
      <c r="H503" s="21">
        <f t="shared" si="7"/>
        <v>45566</v>
      </c>
      <c r="I503" s="26">
        <v>45575</v>
      </c>
      <c r="J503" s="3">
        <v>13.32</v>
      </c>
      <c r="K503" s="10">
        <f>Table2[[#This Row],[Order Quantity]]*Table2[[#This Row],[Price per Unit]]</f>
        <v>12467.52</v>
      </c>
    </row>
    <row r="504" spans="1:11">
      <c r="A504" s="1" t="s">
        <v>523</v>
      </c>
      <c r="B504" s="1" t="s">
        <v>25</v>
      </c>
      <c r="C504" s="1" t="s">
        <v>22</v>
      </c>
      <c r="D504" s="10">
        <v>2884</v>
      </c>
      <c r="E504" s="10">
        <v>2906</v>
      </c>
      <c r="F504" s="4">
        <v>205</v>
      </c>
      <c r="G504" s="2">
        <v>45345</v>
      </c>
      <c r="H504" s="21">
        <f t="shared" si="7"/>
        <v>45323</v>
      </c>
      <c r="I504" s="26">
        <v>45346</v>
      </c>
      <c r="J504" s="3">
        <v>14.08</v>
      </c>
      <c r="K504" s="10">
        <f>Table2[[#This Row],[Order Quantity]]*Table2[[#This Row],[Price per Unit]]</f>
        <v>40606.720000000001</v>
      </c>
    </row>
    <row r="505" spans="1:11">
      <c r="A505" s="1" t="s">
        <v>524</v>
      </c>
      <c r="B505" s="1" t="s">
        <v>27</v>
      </c>
      <c r="C505" s="1" t="s">
        <v>22</v>
      </c>
      <c r="D505" s="10">
        <v>1159</v>
      </c>
      <c r="E505" s="10">
        <v>1161</v>
      </c>
      <c r="F505" s="4">
        <v>31</v>
      </c>
      <c r="G505" s="2">
        <v>45344</v>
      </c>
      <c r="H505" s="21">
        <f t="shared" si="7"/>
        <v>45323</v>
      </c>
      <c r="I505" s="26">
        <v>45351</v>
      </c>
      <c r="J505" s="3">
        <v>19.28</v>
      </c>
      <c r="K505" s="10">
        <f>Table2[[#This Row],[Order Quantity]]*Table2[[#This Row],[Price per Unit]]</f>
        <v>22345.52</v>
      </c>
    </row>
    <row r="506" spans="1:11">
      <c r="A506" s="1" t="s">
        <v>525</v>
      </c>
      <c r="B506" s="1" t="s">
        <v>15</v>
      </c>
      <c r="C506" s="1" t="s">
        <v>16</v>
      </c>
      <c r="D506" s="10">
        <v>2807</v>
      </c>
      <c r="E506" s="10">
        <v>2586</v>
      </c>
      <c r="F506" s="4">
        <v>166</v>
      </c>
      <c r="G506" s="2">
        <v>45410</v>
      </c>
      <c r="H506" s="21">
        <f t="shared" si="7"/>
        <v>45413</v>
      </c>
      <c r="I506" s="26">
        <v>45415</v>
      </c>
      <c r="J506" s="3">
        <v>10.43</v>
      </c>
      <c r="K506" s="10">
        <f>Table2[[#This Row],[Order Quantity]]*Table2[[#This Row],[Price per Unit]]</f>
        <v>29277.01</v>
      </c>
    </row>
    <row r="507" spans="1:11">
      <c r="A507" s="1" t="s">
        <v>526</v>
      </c>
      <c r="B507" s="1" t="s">
        <v>27</v>
      </c>
      <c r="C507" s="1" t="s">
        <v>13</v>
      </c>
      <c r="D507" s="10">
        <v>4545</v>
      </c>
      <c r="E507" s="10">
        <v>4691</v>
      </c>
      <c r="F507" s="4">
        <v>317</v>
      </c>
      <c r="G507" s="2">
        <v>45652</v>
      </c>
      <c r="H507" s="21">
        <f t="shared" si="7"/>
        <v>45627</v>
      </c>
      <c r="I507" s="26">
        <v>45653</v>
      </c>
      <c r="J507" s="3">
        <v>19.43</v>
      </c>
      <c r="K507" s="10">
        <f>Table2[[#This Row],[Order Quantity]]*Table2[[#This Row],[Price per Unit]]</f>
        <v>88309.35</v>
      </c>
    </row>
    <row r="508" spans="1:11">
      <c r="A508" s="1" t="s">
        <v>527</v>
      </c>
      <c r="B508" s="1" t="s">
        <v>27</v>
      </c>
      <c r="C508" s="1" t="s">
        <v>13</v>
      </c>
      <c r="D508" s="10">
        <v>1764</v>
      </c>
      <c r="E508" s="10">
        <v>1722</v>
      </c>
      <c r="F508" s="4">
        <v>22</v>
      </c>
      <c r="G508" s="2">
        <v>45585</v>
      </c>
      <c r="H508" s="21">
        <f t="shared" si="7"/>
        <v>45566</v>
      </c>
      <c r="I508" s="26">
        <v>45585</v>
      </c>
      <c r="J508" s="3">
        <v>10.52</v>
      </c>
      <c r="K508" s="10">
        <f>Table2[[#This Row],[Order Quantity]]*Table2[[#This Row],[Price per Unit]]</f>
        <v>18557.28</v>
      </c>
    </row>
    <row r="509" spans="1:11">
      <c r="A509" s="1" t="s">
        <v>528</v>
      </c>
      <c r="B509" s="1" t="s">
        <v>15</v>
      </c>
      <c r="C509" s="1" t="s">
        <v>20</v>
      </c>
      <c r="D509" s="10">
        <v>3914</v>
      </c>
      <c r="E509" s="10">
        <v>3865</v>
      </c>
      <c r="F509" s="4">
        <v>164</v>
      </c>
      <c r="G509" s="2">
        <v>45611</v>
      </c>
      <c r="H509" s="21">
        <f t="shared" si="7"/>
        <v>45597</v>
      </c>
      <c r="I509" s="26">
        <v>45613</v>
      </c>
      <c r="J509" s="3">
        <v>11.81</v>
      </c>
      <c r="K509" s="10">
        <f>Table2[[#This Row],[Order Quantity]]*Table2[[#This Row],[Price per Unit]]</f>
        <v>46224.340000000004</v>
      </c>
    </row>
    <row r="510" spans="1:11">
      <c r="A510" s="1" t="s">
        <v>529</v>
      </c>
      <c r="B510" s="1" t="s">
        <v>15</v>
      </c>
      <c r="C510" s="1" t="s">
        <v>13</v>
      </c>
      <c r="D510" s="10">
        <v>1167</v>
      </c>
      <c r="E510" s="10">
        <v>1068</v>
      </c>
      <c r="F510" s="4">
        <v>37</v>
      </c>
      <c r="G510" s="2">
        <v>45453</v>
      </c>
      <c r="H510" s="21">
        <f t="shared" si="7"/>
        <v>45444</v>
      </c>
      <c r="I510" s="26">
        <v>45454</v>
      </c>
      <c r="J510" s="3">
        <v>10.41</v>
      </c>
      <c r="K510" s="10">
        <f>Table2[[#This Row],[Order Quantity]]*Table2[[#This Row],[Price per Unit]]</f>
        <v>12148.47</v>
      </c>
    </row>
    <row r="511" spans="1:11">
      <c r="A511" s="1" t="s">
        <v>530</v>
      </c>
      <c r="B511" s="1" t="s">
        <v>15</v>
      </c>
      <c r="C511" s="1" t="s">
        <v>20</v>
      </c>
      <c r="D511" s="10">
        <v>1318</v>
      </c>
      <c r="E511" s="10">
        <v>1271</v>
      </c>
      <c r="F511" s="4">
        <v>93</v>
      </c>
      <c r="G511" s="2">
        <v>45470</v>
      </c>
      <c r="H511" s="21">
        <f t="shared" si="7"/>
        <v>45444</v>
      </c>
      <c r="I511" s="26">
        <v>45472</v>
      </c>
      <c r="J511" s="3">
        <v>12.55</v>
      </c>
      <c r="K511" s="10">
        <f>Table2[[#This Row],[Order Quantity]]*Table2[[#This Row],[Price per Unit]]</f>
        <v>16540.900000000001</v>
      </c>
    </row>
    <row r="512" spans="1:11">
      <c r="A512" s="1" t="s">
        <v>531</v>
      </c>
      <c r="B512" s="1" t="s">
        <v>18</v>
      </c>
      <c r="C512" s="1" t="s">
        <v>22</v>
      </c>
      <c r="D512" s="10">
        <v>2948</v>
      </c>
      <c r="E512" s="10">
        <v>2956</v>
      </c>
      <c r="F512" s="4">
        <v>131</v>
      </c>
      <c r="G512" s="2">
        <v>45508</v>
      </c>
      <c r="H512" s="21">
        <f t="shared" si="7"/>
        <v>45505</v>
      </c>
      <c r="I512" s="26">
        <v>45515</v>
      </c>
      <c r="J512" s="3">
        <v>12.75</v>
      </c>
      <c r="K512" s="10">
        <f>Table2[[#This Row],[Order Quantity]]*Table2[[#This Row],[Price per Unit]]</f>
        <v>37587</v>
      </c>
    </row>
    <row r="513" spans="1:11">
      <c r="A513" s="1" t="s">
        <v>532</v>
      </c>
      <c r="B513" s="1" t="s">
        <v>25</v>
      </c>
      <c r="C513" s="1" t="s">
        <v>22</v>
      </c>
      <c r="D513" s="10">
        <v>4618</v>
      </c>
      <c r="E513" s="10">
        <v>4332</v>
      </c>
      <c r="F513" s="4">
        <v>308</v>
      </c>
      <c r="G513" s="2">
        <v>45315</v>
      </c>
      <c r="H513" s="21">
        <f t="shared" si="7"/>
        <v>45292</v>
      </c>
      <c r="I513" s="26">
        <v>45316</v>
      </c>
      <c r="J513" s="3">
        <v>8.66</v>
      </c>
      <c r="K513" s="10">
        <f>Table2[[#This Row],[Order Quantity]]*Table2[[#This Row],[Price per Unit]]</f>
        <v>39991.879999999997</v>
      </c>
    </row>
    <row r="514" spans="1:11">
      <c r="A514" s="1" t="s">
        <v>533</v>
      </c>
      <c r="B514" s="1" t="s">
        <v>25</v>
      </c>
      <c r="C514" s="1" t="s">
        <v>13</v>
      </c>
      <c r="D514" s="10">
        <v>1022</v>
      </c>
      <c r="E514" s="10">
        <v>1065</v>
      </c>
      <c r="F514" s="4">
        <v>63</v>
      </c>
      <c r="G514" s="2">
        <v>45312</v>
      </c>
      <c r="H514" s="21">
        <f t="shared" ref="H514:H577" si="8">DATE(YEAR(I514), MONTH(I514), 1)</f>
        <v>45292</v>
      </c>
      <c r="I514" s="26">
        <v>45313</v>
      </c>
      <c r="J514" s="3">
        <v>10.96</v>
      </c>
      <c r="K514" s="10">
        <f>Table2[[#This Row],[Order Quantity]]*Table2[[#This Row],[Price per Unit]]</f>
        <v>11201.12</v>
      </c>
    </row>
    <row r="515" spans="1:11">
      <c r="A515" s="1" t="s">
        <v>534</v>
      </c>
      <c r="B515" s="1" t="s">
        <v>15</v>
      </c>
      <c r="C515" s="1" t="s">
        <v>20</v>
      </c>
      <c r="D515" s="10">
        <v>1816</v>
      </c>
      <c r="E515" s="10">
        <v>1647</v>
      </c>
      <c r="F515" s="4">
        <v>57</v>
      </c>
      <c r="G515" s="2">
        <v>45319</v>
      </c>
      <c r="H515" s="21">
        <f t="shared" si="8"/>
        <v>45323</v>
      </c>
      <c r="I515" s="26">
        <v>45326</v>
      </c>
      <c r="J515" s="3">
        <v>24.14</v>
      </c>
      <c r="K515" s="10">
        <f>Table2[[#This Row],[Order Quantity]]*Table2[[#This Row],[Price per Unit]]</f>
        <v>43838.239999999998</v>
      </c>
    </row>
    <row r="516" spans="1:11">
      <c r="A516" s="1" t="s">
        <v>535</v>
      </c>
      <c r="B516" s="1" t="s">
        <v>15</v>
      </c>
      <c r="C516" s="1" t="s">
        <v>20</v>
      </c>
      <c r="D516" s="10">
        <v>1878</v>
      </c>
      <c r="E516" s="10">
        <v>1819</v>
      </c>
      <c r="F516" s="4">
        <v>44</v>
      </c>
      <c r="G516" s="2">
        <v>45527</v>
      </c>
      <c r="H516" s="21">
        <f t="shared" si="8"/>
        <v>45505</v>
      </c>
      <c r="I516" s="26">
        <v>45527</v>
      </c>
      <c r="J516" s="3">
        <v>12.37</v>
      </c>
      <c r="K516" s="10">
        <f>Table2[[#This Row],[Order Quantity]]*Table2[[#This Row],[Price per Unit]]</f>
        <v>23230.859999999997</v>
      </c>
    </row>
    <row r="517" spans="1:11">
      <c r="A517" s="1" t="s">
        <v>536</v>
      </c>
      <c r="B517" s="1" t="s">
        <v>15</v>
      </c>
      <c r="C517" s="1" t="s">
        <v>45</v>
      </c>
      <c r="D517" s="10">
        <v>1391</v>
      </c>
      <c r="E517" s="10">
        <v>1431</v>
      </c>
      <c r="F517" s="4">
        <v>32</v>
      </c>
      <c r="G517" s="2">
        <v>45391</v>
      </c>
      <c r="H517" s="21">
        <f t="shared" si="8"/>
        <v>45383</v>
      </c>
      <c r="I517" s="26">
        <v>45396</v>
      </c>
      <c r="J517" s="3">
        <v>16.04</v>
      </c>
      <c r="K517" s="10">
        <f>Table2[[#This Row],[Order Quantity]]*Table2[[#This Row],[Price per Unit]]</f>
        <v>22311.64</v>
      </c>
    </row>
    <row r="518" spans="1:11">
      <c r="A518" s="1" t="s">
        <v>537</v>
      </c>
      <c r="B518" s="1" t="s">
        <v>25</v>
      </c>
      <c r="C518" s="1" t="s">
        <v>16</v>
      </c>
      <c r="D518" s="10">
        <v>4924</v>
      </c>
      <c r="E518" s="10">
        <v>5074</v>
      </c>
      <c r="F518" s="4">
        <v>310</v>
      </c>
      <c r="G518" s="2">
        <v>45391</v>
      </c>
      <c r="H518" s="21">
        <f t="shared" si="8"/>
        <v>45383</v>
      </c>
      <c r="I518" s="26">
        <v>45393</v>
      </c>
      <c r="J518" s="3">
        <v>17.95</v>
      </c>
      <c r="K518" s="10">
        <f>Table2[[#This Row],[Order Quantity]]*Table2[[#This Row],[Price per Unit]]</f>
        <v>88385.8</v>
      </c>
    </row>
    <row r="519" spans="1:11">
      <c r="A519" s="1" t="s">
        <v>538</v>
      </c>
      <c r="B519" s="1" t="s">
        <v>25</v>
      </c>
      <c r="C519" s="1" t="s">
        <v>16</v>
      </c>
      <c r="D519" s="10">
        <v>2378</v>
      </c>
      <c r="E519" s="10">
        <v>2356</v>
      </c>
      <c r="F519" s="4">
        <v>72</v>
      </c>
      <c r="G519" s="2">
        <v>45554</v>
      </c>
      <c r="H519" s="21">
        <f t="shared" si="8"/>
        <v>45536</v>
      </c>
      <c r="I519" s="26">
        <v>45555</v>
      </c>
      <c r="J519" s="3">
        <v>7.73</v>
      </c>
      <c r="K519" s="10">
        <f>Table2[[#This Row],[Order Quantity]]*Table2[[#This Row],[Price per Unit]]</f>
        <v>18381.940000000002</v>
      </c>
    </row>
    <row r="520" spans="1:11">
      <c r="A520" s="1" t="s">
        <v>539</v>
      </c>
      <c r="B520" s="1" t="s">
        <v>27</v>
      </c>
      <c r="C520" s="1" t="s">
        <v>16</v>
      </c>
      <c r="D520" s="10">
        <v>1439</v>
      </c>
      <c r="E520" s="10">
        <v>1380</v>
      </c>
      <c r="F520" s="4">
        <v>82</v>
      </c>
      <c r="G520" s="2">
        <v>45647</v>
      </c>
      <c r="H520" s="21">
        <f t="shared" si="8"/>
        <v>45627</v>
      </c>
      <c r="I520" s="26">
        <v>45649</v>
      </c>
      <c r="J520" s="3">
        <v>8.98</v>
      </c>
      <c r="K520" s="10">
        <f>Table2[[#This Row],[Order Quantity]]*Table2[[#This Row],[Price per Unit]]</f>
        <v>12922.220000000001</v>
      </c>
    </row>
    <row r="521" spans="1:11">
      <c r="A521" s="1" t="s">
        <v>540</v>
      </c>
      <c r="B521" s="1" t="s">
        <v>25</v>
      </c>
      <c r="C521" s="1" t="s">
        <v>13</v>
      </c>
      <c r="D521" s="10">
        <v>3823</v>
      </c>
      <c r="E521" s="10">
        <v>3465</v>
      </c>
      <c r="F521" s="4">
        <v>196</v>
      </c>
      <c r="G521" s="2">
        <v>45345</v>
      </c>
      <c r="H521" s="21">
        <f t="shared" si="8"/>
        <v>45323</v>
      </c>
      <c r="I521" s="26">
        <v>45345</v>
      </c>
      <c r="J521" s="3">
        <v>21.47</v>
      </c>
      <c r="K521" s="10">
        <f>Table2[[#This Row],[Order Quantity]]*Table2[[#This Row],[Price per Unit]]</f>
        <v>82079.81</v>
      </c>
    </row>
    <row r="522" spans="1:11">
      <c r="A522" s="1" t="s">
        <v>541</v>
      </c>
      <c r="B522" s="1" t="s">
        <v>18</v>
      </c>
      <c r="C522" s="1" t="s">
        <v>16</v>
      </c>
      <c r="D522" s="10">
        <v>2600</v>
      </c>
      <c r="E522" s="10">
        <v>2608</v>
      </c>
      <c r="F522" s="4">
        <v>70</v>
      </c>
      <c r="G522" s="2">
        <v>45549</v>
      </c>
      <c r="H522" s="21">
        <f t="shared" si="8"/>
        <v>45536</v>
      </c>
      <c r="I522" s="26">
        <v>45552</v>
      </c>
      <c r="J522" s="3">
        <v>23.22</v>
      </c>
      <c r="K522" s="10">
        <f>Table2[[#This Row],[Order Quantity]]*Table2[[#This Row],[Price per Unit]]</f>
        <v>60372</v>
      </c>
    </row>
    <row r="523" spans="1:11">
      <c r="A523" s="1" t="s">
        <v>542</v>
      </c>
      <c r="B523" s="1" t="s">
        <v>27</v>
      </c>
      <c r="C523" s="1" t="s">
        <v>16</v>
      </c>
      <c r="D523" s="10">
        <v>4993</v>
      </c>
      <c r="E523" s="10">
        <v>4803</v>
      </c>
      <c r="F523" s="4">
        <v>213</v>
      </c>
      <c r="G523" s="2">
        <v>45308</v>
      </c>
      <c r="H523" s="21">
        <f t="shared" si="8"/>
        <v>45292</v>
      </c>
      <c r="I523" s="26">
        <v>45309</v>
      </c>
      <c r="J523" s="3">
        <v>13.09</v>
      </c>
      <c r="K523" s="10">
        <f>Table2[[#This Row],[Order Quantity]]*Table2[[#This Row],[Price per Unit]]</f>
        <v>65358.37</v>
      </c>
    </row>
    <row r="524" spans="1:11">
      <c r="A524" s="1" t="s">
        <v>543</v>
      </c>
      <c r="B524" s="1" t="s">
        <v>25</v>
      </c>
      <c r="C524" s="1" t="s">
        <v>13</v>
      </c>
      <c r="D524" s="10">
        <v>3753</v>
      </c>
      <c r="E524" s="10">
        <v>3527</v>
      </c>
      <c r="F524" s="4">
        <v>214</v>
      </c>
      <c r="G524" s="2">
        <v>45479</v>
      </c>
      <c r="H524" s="21">
        <f t="shared" si="8"/>
        <v>45474</v>
      </c>
      <c r="I524" s="26">
        <v>45479</v>
      </c>
      <c r="J524" s="3">
        <v>22.55</v>
      </c>
      <c r="K524" s="10">
        <f>Table2[[#This Row],[Order Quantity]]*Table2[[#This Row],[Price per Unit]]</f>
        <v>84630.150000000009</v>
      </c>
    </row>
    <row r="525" spans="1:11">
      <c r="A525" s="1" t="s">
        <v>544</v>
      </c>
      <c r="B525" s="1" t="s">
        <v>25</v>
      </c>
      <c r="C525" s="1" t="s">
        <v>20</v>
      </c>
      <c r="D525" s="10">
        <v>2777</v>
      </c>
      <c r="E525" s="10">
        <v>2816</v>
      </c>
      <c r="F525" s="4">
        <v>117</v>
      </c>
      <c r="G525" s="2">
        <v>45395</v>
      </c>
      <c r="H525" s="21">
        <f t="shared" si="8"/>
        <v>45383</v>
      </c>
      <c r="I525" s="26">
        <v>45396</v>
      </c>
      <c r="J525" s="3">
        <v>10.35</v>
      </c>
      <c r="K525" s="10">
        <f>Table2[[#This Row],[Order Quantity]]*Table2[[#This Row],[Price per Unit]]</f>
        <v>28741.95</v>
      </c>
    </row>
    <row r="526" spans="1:11">
      <c r="A526" s="1" t="s">
        <v>545</v>
      </c>
      <c r="B526" s="1" t="s">
        <v>18</v>
      </c>
      <c r="C526" s="1" t="s">
        <v>16</v>
      </c>
      <c r="D526" s="10">
        <v>3245</v>
      </c>
      <c r="E526" s="10">
        <v>3337</v>
      </c>
      <c r="F526" s="4">
        <v>167</v>
      </c>
      <c r="G526" s="2">
        <v>45466</v>
      </c>
      <c r="H526" s="21">
        <f t="shared" si="8"/>
        <v>45444</v>
      </c>
      <c r="I526" s="26">
        <v>45469</v>
      </c>
      <c r="J526" s="3">
        <v>6.53</v>
      </c>
      <c r="K526" s="10">
        <f>Table2[[#This Row],[Order Quantity]]*Table2[[#This Row],[Price per Unit]]</f>
        <v>21189.850000000002</v>
      </c>
    </row>
    <row r="527" spans="1:11">
      <c r="A527" s="1" t="s">
        <v>546</v>
      </c>
      <c r="B527" s="1" t="s">
        <v>27</v>
      </c>
      <c r="C527" s="1" t="s">
        <v>45</v>
      </c>
      <c r="D527" s="10">
        <v>3292</v>
      </c>
      <c r="E527" s="10">
        <v>3022</v>
      </c>
      <c r="F527" s="4">
        <v>86</v>
      </c>
      <c r="G527" s="2">
        <v>45444</v>
      </c>
      <c r="H527" s="21">
        <f t="shared" si="8"/>
        <v>45444</v>
      </c>
      <c r="I527" s="26">
        <v>45444</v>
      </c>
      <c r="J527" s="3">
        <v>5.35</v>
      </c>
      <c r="K527" s="10">
        <f>Table2[[#This Row],[Order Quantity]]*Table2[[#This Row],[Price per Unit]]</f>
        <v>17612.199999999997</v>
      </c>
    </row>
    <row r="528" spans="1:11">
      <c r="A528" s="1" t="s">
        <v>547</v>
      </c>
      <c r="B528" s="1" t="s">
        <v>12</v>
      </c>
      <c r="C528" s="1" t="s">
        <v>45</v>
      </c>
      <c r="D528" s="10">
        <v>4525</v>
      </c>
      <c r="E528" s="10">
        <v>4224</v>
      </c>
      <c r="F528" s="4">
        <v>232</v>
      </c>
      <c r="G528" s="2">
        <v>45499</v>
      </c>
      <c r="H528" s="21">
        <f t="shared" si="8"/>
        <v>45474</v>
      </c>
      <c r="I528" s="26">
        <v>45499</v>
      </c>
      <c r="J528" s="3">
        <v>16.41</v>
      </c>
      <c r="K528" s="10">
        <f>Table2[[#This Row],[Order Quantity]]*Table2[[#This Row],[Price per Unit]]</f>
        <v>74255.25</v>
      </c>
    </row>
    <row r="529" spans="1:11">
      <c r="A529" s="1" t="s">
        <v>548</v>
      </c>
      <c r="B529" s="1" t="s">
        <v>15</v>
      </c>
      <c r="C529" s="1" t="s">
        <v>22</v>
      </c>
      <c r="D529" s="10">
        <v>1472</v>
      </c>
      <c r="E529" s="10">
        <v>1539</v>
      </c>
      <c r="F529" s="4">
        <v>106</v>
      </c>
      <c r="G529" s="2">
        <v>45622</v>
      </c>
      <c r="H529" s="21">
        <f t="shared" si="8"/>
        <v>45627</v>
      </c>
      <c r="I529" s="26">
        <v>45629</v>
      </c>
      <c r="J529" s="3">
        <v>5.47</v>
      </c>
      <c r="K529" s="10">
        <f>Table2[[#This Row],[Order Quantity]]*Table2[[#This Row],[Price per Unit]]</f>
        <v>8051.8399999999992</v>
      </c>
    </row>
    <row r="530" spans="1:11">
      <c r="A530" s="1" t="s">
        <v>549</v>
      </c>
      <c r="B530" s="1" t="s">
        <v>18</v>
      </c>
      <c r="C530" s="1" t="s">
        <v>20</v>
      </c>
      <c r="D530" s="10">
        <v>4820</v>
      </c>
      <c r="E530" s="10">
        <v>4776</v>
      </c>
      <c r="F530" s="4">
        <v>145</v>
      </c>
      <c r="G530" s="2">
        <v>45350</v>
      </c>
      <c r="H530" s="21">
        <f t="shared" si="8"/>
        <v>45323</v>
      </c>
      <c r="I530" s="26">
        <v>45351</v>
      </c>
      <c r="J530" s="3">
        <v>9.14</v>
      </c>
      <c r="K530" s="10">
        <f>Table2[[#This Row],[Order Quantity]]*Table2[[#This Row],[Price per Unit]]</f>
        <v>44054.8</v>
      </c>
    </row>
    <row r="531" spans="1:11">
      <c r="A531" s="1" t="s">
        <v>550</v>
      </c>
      <c r="B531" s="1" t="s">
        <v>27</v>
      </c>
      <c r="C531" s="1" t="s">
        <v>16</v>
      </c>
      <c r="D531" s="10">
        <v>694</v>
      </c>
      <c r="E531" s="10">
        <v>698</v>
      </c>
      <c r="F531" s="4">
        <v>52</v>
      </c>
      <c r="G531" s="2">
        <v>45496</v>
      </c>
      <c r="H531" s="21">
        <f t="shared" si="8"/>
        <v>45474</v>
      </c>
      <c r="I531" s="26">
        <v>45501</v>
      </c>
      <c r="J531" s="3">
        <v>17.07</v>
      </c>
      <c r="K531" s="10">
        <f>Table2[[#This Row],[Order Quantity]]*Table2[[#This Row],[Price per Unit]]</f>
        <v>11846.58</v>
      </c>
    </row>
    <row r="532" spans="1:11">
      <c r="A532" s="1" t="s">
        <v>551</v>
      </c>
      <c r="B532" s="1" t="s">
        <v>15</v>
      </c>
      <c r="C532" s="1" t="s">
        <v>22</v>
      </c>
      <c r="D532" s="10">
        <v>1741</v>
      </c>
      <c r="E532" s="10">
        <v>1718</v>
      </c>
      <c r="F532" s="4">
        <v>136</v>
      </c>
      <c r="G532" s="2">
        <v>45603</v>
      </c>
      <c r="H532" s="21">
        <f t="shared" si="8"/>
        <v>45597</v>
      </c>
      <c r="I532" s="26">
        <v>45610</v>
      </c>
      <c r="J532" s="3">
        <v>9.7799999999999994</v>
      </c>
      <c r="K532" s="10">
        <f>Table2[[#This Row],[Order Quantity]]*Table2[[#This Row],[Price per Unit]]</f>
        <v>17026.98</v>
      </c>
    </row>
    <row r="533" spans="1:11">
      <c r="A533" s="1" t="s">
        <v>552</v>
      </c>
      <c r="B533" s="1" t="s">
        <v>12</v>
      </c>
      <c r="C533" s="1" t="s">
        <v>16</v>
      </c>
      <c r="D533" s="10">
        <v>1479</v>
      </c>
      <c r="E533" s="10">
        <v>1451</v>
      </c>
      <c r="F533" s="4">
        <v>112</v>
      </c>
      <c r="G533" s="2">
        <v>45524</v>
      </c>
      <c r="H533" s="21">
        <f t="shared" si="8"/>
        <v>45505</v>
      </c>
      <c r="I533" s="26">
        <v>45524</v>
      </c>
      <c r="J533" s="3">
        <v>6.51</v>
      </c>
      <c r="K533" s="10">
        <f>Table2[[#This Row],[Order Quantity]]*Table2[[#This Row],[Price per Unit]]</f>
        <v>9628.2899999999991</v>
      </c>
    </row>
    <row r="534" spans="1:11">
      <c r="A534" s="1" t="s">
        <v>553</v>
      </c>
      <c r="B534" s="1" t="s">
        <v>27</v>
      </c>
      <c r="C534" s="1" t="s">
        <v>22</v>
      </c>
      <c r="D534" s="10">
        <v>3770</v>
      </c>
      <c r="E534" s="10">
        <v>3472</v>
      </c>
      <c r="F534" s="4">
        <v>185</v>
      </c>
      <c r="G534" s="2">
        <v>45592</v>
      </c>
      <c r="H534" s="21">
        <f t="shared" si="8"/>
        <v>45566</v>
      </c>
      <c r="I534" s="26">
        <v>45592</v>
      </c>
      <c r="J534" s="3">
        <v>20.63</v>
      </c>
      <c r="K534" s="10">
        <f>Table2[[#This Row],[Order Quantity]]*Table2[[#This Row],[Price per Unit]]</f>
        <v>77775.099999999991</v>
      </c>
    </row>
    <row r="535" spans="1:11">
      <c r="A535" s="1" t="s">
        <v>554</v>
      </c>
      <c r="B535" s="1" t="s">
        <v>12</v>
      </c>
      <c r="C535" s="1" t="s">
        <v>16</v>
      </c>
      <c r="D535" s="10">
        <v>960</v>
      </c>
      <c r="E535" s="10">
        <v>980</v>
      </c>
      <c r="F535" s="4">
        <v>53</v>
      </c>
      <c r="G535" s="2">
        <v>45612</v>
      </c>
      <c r="H535" s="21">
        <f t="shared" si="8"/>
        <v>45597</v>
      </c>
      <c r="I535" s="26">
        <v>45612</v>
      </c>
      <c r="J535" s="3">
        <v>12.76</v>
      </c>
      <c r="K535" s="10">
        <f>Table2[[#This Row],[Order Quantity]]*Table2[[#This Row],[Price per Unit]]</f>
        <v>12249.6</v>
      </c>
    </row>
    <row r="536" spans="1:11">
      <c r="A536" s="1" t="s">
        <v>555</v>
      </c>
      <c r="B536" s="1" t="s">
        <v>18</v>
      </c>
      <c r="C536" s="1" t="s">
        <v>22</v>
      </c>
      <c r="D536" s="10">
        <v>3673</v>
      </c>
      <c r="E536" s="10">
        <v>3465</v>
      </c>
      <c r="F536" s="4">
        <v>148</v>
      </c>
      <c r="G536" s="2">
        <v>45465</v>
      </c>
      <c r="H536" s="21">
        <f t="shared" si="8"/>
        <v>45444</v>
      </c>
      <c r="I536" s="26">
        <v>45465</v>
      </c>
      <c r="J536" s="3">
        <v>22.8</v>
      </c>
      <c r="K536" s="10">
        <f>Table2[[#This Row],[Order Quantity]]*Table2[[#This Row],[Price per Unit]]</f>
        <v>83744.400000000009</v>
      </c>
    </row>
    <row r="537" spans="1:11">
      <c r="A537" s="1" t="s">
        <v>556</v>
      </c>
      <c r="B537" s="1" t="s">
        <v>25</v>
      </c>
      <c r="C537" s="1" t="s">
        <v>16</v>
      </c>
      <c r="D537" s="10">
        <v>3341</v>
      </c>
      <c r="E537" s="10">
        <v>3080</v>
      </c>
      <c r="F537" s="4">
        <v>32</v>
      </c>
      <c r="G537" s="2">
        <v>45539</v>
      </c>
      <c r="H537" s="21">
        <f t="shared" si="8"/>
        <v>45536</v>
      </c>
      <c r="I537" s="26">
        <v>45542</v>
      </c>
      <c r="J537" s="3">
        <v>17.62</v>
      </c>
      <c r="K537" s="10">
        <f>Table2[[#This Row],[Order Quantity]]*Table2[[#This Row],[Price per Unit]]</f>
        <v>58868.420000000006</v>
      </c>
    </row>
    <row r="538" spans="1:11">
      <c r="A538" s="1" t="s">
        <v>557</v>
      </c>
      <c r="B538" s="1" t="s">
        <v>15</v>
      </c>
      <c r="C538" s="1" t="s">
        <v>22</v>
      </c>
      <c r="D538" s="10">
        <v>2196</v>
      </c>
      <c r="E538" s="10">
        <v>2291</v>
      </c>
      <c r="F538" s="4">
        <v>107</v>
      </c>
      <c r="G538" s="2">
        <v>45352</v>
      </c>
      <c r="H538" s="21">
        <f t="shared" si="8"/>
        <v>45352</v>
      </c>
      <c r="I538" s="26">
        <v>45352</v>
      </c>
      <c r="J538" s="3">
        <v>9.84</v>
      </c>
      <c r="K538" s="10">
        <f>Table2[[#This Row],[Order Quantity]]*Table2[[#This Row],[Price per Unit]]</f>
        <v>21608.639999999999</v>
      </c>
    </row>
    <row r="539" spans="1:11">
      <c r="A539" s="1" t="s">
        <v>558</v>
      </c>
      <c r="B539" s="1" t="s">
        <v>27</v>
      </c>
      <c r="C539" s="1" t="s">
        <v>16</v>
      </c>
      <c r="D539" s="10">
        <v>3000</v>
      </c>
      <c r="E539" s="10">
        <v>2979</v>
      </c>
      <c r="F539" s="4">
        <v>223</v>
      </c>
      <c r="G539" s="2">
        <v>45369</v>
      </c>
      <c r="H539" s="21">
        <f t="shared" si="8"/>
        <v>45352</v>
      </c>
      <c r="I539" s="26">
        <v>45369</v>
      </c>
      <c r="J539" s="3">
        <v>20.22</v>
      </c>
      <c r="K539" s="10">
        <f>Table2[[#This Row],[Order Quantity]]*Table2[[#This Row],[Price per Unit]]</f>
        <v>60660</v>
      </c>
    </row>
    <row r="540" spans="1:11">
      <c r="A540" s="1" t="s">
        <v>559</v>
      </c>
      <c r="B540" s="1" t="s">
        <v>12</v>
      </c>
      <c r="C540" s="1" t="s">
        <v>16</v>
      </c>
      <c r="D540" s="10">
        <v>2849</v>
      </c>
      <c r="E540" s="10">
        <v>2749</v>
      </c>
      <c r="F540" s="4">
        <v>35</v>
      </c>
      <c r="G540" s="2">
        <v>45384</v>
      </c>
      <c r="H540" s="21">
        <f t="shared" si="8"/>
        <v>45383</v>
      </c>
      <c r="I540" s="26">
        <v>45391</v>
      </c>
      <c r="J540" s="3">
        <v>8.31</v>
      </c>
      <c r="K540" s="10">
        <f>Table2[[#This Row],[Order Quantity]]*Table2[[#This Row],[Price per Unit]]</f>
        <v>23675.190000000002</v>
      </c>
    </row>
    <row r="541" spans="1:11">
      <c r="A541" s="1" t="s">
        <v>560</v>
      </c>
      <c r="B541" s="1" t="s">
        <v>15</v>
      </c>
      <c r="C541" s="1" t="s">
        <v>20</v>
      </c>
      <c r="D541" s="10">
        <v>3999</v>
      </c>
      <c r="E541" s="10">
        <v>4137</v>
      </c>
      <c r="F541" s="4">
        <v>236</v>
      </c>
      <c r="G541" s="2">
        <v>45622</v>
      </c>
      <c r="H541" s="21">
        <f t="shared" si="8"/>
        <v>45597</v>
      </c>
      <c r="I541" s="26">
        <v>45624</v>
      </c>
      <c r="J541" s="3">
        <v>7.74</v>
      </c>
      <c r="K541" s="10">
        <f>Table2[[#This Row],[Order Quantity]]*Table2[[#This Row],[Price per Unit]]</f>
        <v>30952.260000000002</v>
      </c>
    </row>
    <row r="542" spans="1:11">
      <c r="A542" s="1" t="s">
        <v>561</v>
      </c>
      <c r="B542" s="1" t="s">
        <v>25</v>
      </c>
      <c r="C542" s="1" t="s">
        <v>22</v>
      </c>
      <c r="D542" s="10">
        <v>2046</v>
      </c>
      <c r="E542" s="10">
        <v>1961</v>
      </c>
      <c r="F542" s="4">
        <v>110</v>
      </c>
      <c r="G542" s="2">
        <v>45359</v>
      </c>
      <c r="H542" s="21">
        <f t="shared" si="8"/>
        <v>45352</v>
      </c>
      <c r="I542" s="26">
        <v>45359</v>
      </c>
      <c r="J542" s="3">
        <v>7.18</v>
      </c>
      <c r="K542" s="10">
        <f>Table2[[#This Row],[Order Quantity]]*Table2[[#This Row],[Price per Unit]]</f>
        <v>14690.279999999999</v>
      </c>
    </row>
    <row r="543" spans="1:11">
      <c r="A543" s="1" t="s">
        <v>562</v>
      </c>
      <c r="B543" s="1" t="s">
        <v>12</v>
      </c>
      <c r="C543" s="1" t="s">
        <v>22</v>
      </c>
      <c r="D543" s="10">
        <v>1775</v>
      </c>
      <c r="E543" s="10">
        <v>1862</v>
      </c>
      <c r="F543" s="4">
        <v>111</v>
      </c>
      <c r="G543" s="2">
        <v>45623</v>
      </c>
      <c r="H543" s="21">
        <f t="shared" si="8"/>
        <v>45597</v>
      </c>
      <c r="I543" s="26">
        <v>45623</v>
      </c>
      <c r="J543" s="3">
        <v>24.62</v>
      </c>
      <c r="K543" s="10">
        <f>Table2[[#This Row],[Order Quantity]]*Table2[[#This Row],[Price per Unit]]</f>
        <v>43700.5</v>
      </c>
    </row>
    <row r="544" spans="1:11">
      <c r="A544" s="1" t="s">
        <v>563</v>
      </c>
      <c r="B544" s="1" t="s">
        <v>27</v>
      </c>
      <c r="C544" s="1" t="s">
        <v>45</v>
      </c>
      <c r="D544" s="10">
        <v>856</v>
      </c>
      <c r="E544" s="10">
        <v>826</v>
      </c>
      <c r="F544" s="4">
        <v>42</v>
      </c>
      <c r="G544" s="2">
        <v>45445</v>
      </c>
      <c r="H544" s="21">
        <f t="shared" si="8"/>
        <v>45444</v>
      </c>
      <c r="I544" s="26">
        <v>45448</v>
      </c>
      <c r="J544" s="3">
        <v>6.46</v>
      </c>
      <c r="K544" s="10">
        <f>Table2[[#This Row],[Order Quantity]]*Table2[[#This Row],[Price per Unit]]</f>
        <v>5529.76</v>
      </c>
    </row>
    <row r="545" spans="1:11">
      <c r="A545" s="1" t="s">
        <v>564</v>
      </c>
      <c r="B545" s="1" t="s">
        <v>25</v>
      </c>
      <c r="C545" s="1" t="s">
        <v>16</v>
      </c>
      <c r="D545" s="10">
        <v>1783</v>
      </c>
      <c r="E545" s="10">
        <v>1826</v>
      </c>
      <c r="F545" s="4">
        <v>111</v>
      </c>
      <c r="G545" s="2">
        <v>45564</v>
      </c>
      <c r="H545" s="21">
        <f t="shared" si="8"/>
        <v>45536</v>
      </c>
      <c r="I545" s="26">
        <v>45564</v>
      </c>
      <c r="J545" s="3">
        <v>12.1</v>
      </c>
      <c r="K545" s="10">
        <f>Table2[[#This Row],[Order Quantity]]*Table2[[#This Row],[Price per Unit]]</f>
        <v>21574.3</v>
      </c>
    </row>
    <row r="546" spans="1:11">
      <c r="A546" s="1" t="s">
        <v>565</v>
      </c>
      <c r="B546" s="1" t="s">
        <v>12</v>
      </c>
      <c r="C546" s="1" t="s">
        <v>16</v>
      </c>
      <c r="D546" s="10">
        <v>744</v>
      </c>
      <c r="E546" s="10">
        <v>775</v>
      </c>
      <c r="F546" s="4">
        <v>60</v>
      </c>
      <c r="G546" s="2">
        <v>45653</v>
      </c>
      <c r="H546" s="21">
        <f t="shared" si="8"/>
        <v>45658</v>
      </c>
      <c r="I546" s="26">
        <v>45660</v>
      </c>
      <c r="J546" s="3">
        <v>12.86</v>
      </c>
      <c r="K546" s="10">
        <f>Table2[[#This Row],[Order Quantity]]*Table2[[#This Row],[Price per Unit]]</f>
        <v>9567.84</v>
      </c>
    </row>
    <row r="547" spans="1:11">
      <c r="A547" s="1" t="s">
        <v>566</v>
      </c>
      <c r="B547" s="1" t="s">
        <v>15</v>
      </c>
      <c r="C547" s="1" t="s">
        <v>13</v>
      </c>
      <c r="D547" s="10">
        <v>3025</v>
      </c>
      <c r="E547" s="10">
        <v>3048</v>
      </c>
      <c r="F547" s="4">
        <v>83</v>
      </c>
      <c r="G547" s="2">
        <v>45330</v>
      </c>
      <c r="H547" s="21">
        <f t="shared" si="8"/>
        <v>45323</v>
      </c>
      <c r="I547" s="26">
        <v>45330</v>
      </c>
      <c r="J547" s="3">
        <v>17.809999999999999</v>
      </c>
      <c r="K547" s="10">
        <f>Table2[[#This Row],[Order Quantity]]*Table2[[#This Row],[Price per Unit]]</f>
        <v>53875.249999999993</v>
      </c>
    </row>
    <row r="548" spans="1:11">
      <c r="A548" s="1" t="s">
        <v>567</v>
      </c>
      <c r="B548" s="1" t="s">
        <v>27</v>
      </c>
      <c r="C548" s="1" t="s">
        <v>16</v>
      </c>
      <c r="D548" s="10">
        <v>4782</v>
      </c>
      <c r="E548" s="10">
        <v>4992</v>
      </c>
      <c r="F548" s="4">
        <v>316</v>
      </c>
      <c r="G548" s="2">
        <v>45335</v>
      </c>
      <c r="H548" s="21">
        <f t="shared" si="8"/>
        <v>45323</v>
      </c>
      <c r="I548" s="26">
        <v>45335</v>
      </c>
      <c r="J548" s="3">
        <v>22.1</v>
      </c>
      <c r="K548" s="10">
        <f>Table2[[#This Row],[Order Quantity]]*Table2[[#This Row],[Price per Unit]]</f>
        <v>105682.20000000001</v>
      </c>
    </row>
    <row r="549" spans="1:11">
      <c r="A549" s="1" t="s">
        <v>568</v>
      </c>
      <c r="B549" s="1" t="s">
        <v>15</v>
      </c>
      <c r="C549" s="1" t="s">
        <v>22</v>
      </c>
      <c r="D549" s="10">
        <v>2968</v>
      </c>
      <c r="E549" s="10">
        <v>2675</v>
      </c>
      <c r="F549" s="4">
        <v>93</v>
      </c>
      <c r="G549" s="2">
        <v>45546</v>
      </c>
      <c r="H549" s="21">
        <f t="shared" si="8"/>
        <v>45536</v>
      </c>
      <c r="I549" s="26">
        <v>45546</v>
      </c>
      <c r="J549" s="3">
        <v>23.52</v>
      </c>
      <c r="K549" s="10">
        <f>Table2[[#This Row],[Order Quantity]]*Table2[[#This Row],[Price per Unit]]</f>
        <v>69807.360000000001</v>
      </c>
    </row>
    <row r="550" spans="1:11">
      <c r="A550" s="1" t="s">
        <v>569</v>
      </c>
      <c r="B550" s="1" t="s">
        <v>27</v>
      </c>
      <c r="C550" s="1" t="s">
        <v>13</v>
      </c>
      <c r="D550" s="10">
        <v>2717</v>
      </c>
      <c r="E550" s="10">
        <v>2576</v>
      </c>
      <c r="F550" s="4">
        <v>178</v>
      </c>
      <c r="G550" s="2">
        <v>45382</v>
      </c>
      <c r="H550" s="21">
        <f t="shared" si="8"/>
        <v>45383</v>
      </c>
      <c r="I550" s="26">
        <v>45385</v>
      </c>
      <c r="J550" s="3">
        <v>19.579999999999998</v>
      </c>
      <c r="K550" s="10">
        <f>Table2[[#This Row],[Order Quantity]]*Table2[[#This Row],[Price per Unit]]</f>
        <v>53198.859999999993</v>
      </c>
    </row>
    <row r="551" spans="1:11">
      <c r="A551" s="1" t="s">
        <v>570</v>
      </c>
      <c r="B551" s="1" t="s">
        <v>12</v>
      </c>
      <c r="C551" s="1" t="s">
        <v>16</v>
      </c>
      <c r="D551" s="10">
        <v>3160</v>
      </c>
      <c r="E551" s="10">
        <v>2960</v>
      </c>
      <c r="F551" s="4">
        <v>113</v>
      </c>
      <c r="G551" s="2">
        <v>45464</v>
      </c>
      <c r="H551" s="21">
        <f t="shared" si="8"/>
        <v>45444</v>
      </c>
      <c r="I551" s="26">
        <v>45464</v>
      </c>
      <c r="J551" s="3">
        <v>22.89</v>
      </c>
      <c r="K551" s="10">
        <f>Table2[[#This Row],[Order Quantity]]*Table2[[#This Row],[Price per Unit]]</f>
        <v>72332.400000000009</v>
      </c>
    </row>
    <row r="552" spans="1:11">
      <c r="A552" s="1" t="s">
        <v>571</v>
      </c>
      <c r="B552" s="1" t="s">
        <v>18</v>
      </c>
      <c r="C552" s="1" t="s">
        <v>20</v>
      </c>
      <c r="D552" s="10">
        <v>3287</v>
      </c>
      <c r="E552" s="10">
        <v>3100</v>
      </c>
      <c r="F552" s="4">
        <v>117</v>
      </c>
      <c r="G552" s="2">
        <v>45420</v>
      </c>
      <c r="H552" s="21">
        <f t="shared" si="8"/>
        <v>45413</v>
      </c>
      <c r="I552" s="26">
        <v>45427</v>
      </c>
      <c r="J552" s="3">
        <v>23.39</v>
      </c>
      <c r="K552" s="10">
        <f>Table2[[#This Row],[Order Quantity]]*Table2[[#This Row],[Price per Unit]]</f>
        <v>76882.930000000008</v>
      </c>
    </row>
    <row r="553" spans="1:11">
      <c r="A553" s="1" t="s">
        <v>572</v>
      </c>
      <c r="B553" s="1" t="s">
        <v>18</v>
      </c>
      <c r="C553" s="1" t="s">
        <v>16</v>
      </c>
      <c r="D553" s="10">
        <v>1100</v>
      </c>
      <c r="E553" s="10">
        <v>1115</v>
      </c>
      <c r="F553" s="4">
        <v>40</v>
      </c>
      <c r="G553" s="2">
        <v>45408</v>
      </c>
      <c r="H553" s="21">
        <f t="shared" si="8"/>
        <v>45383</v>
      </c>
      <c r="I553" s="26">
        <v>45411</v>
      </c>
      <c r="J553" s="3">
        <v>12.85</v>
      </c>
      <c r="K553" s="10">
        <f>Table2[[#This Row],[Order Quantity]]*Table2[[#This Row],[Price per Unit]]</f>
        <v>14135</v>
      </c>
    </row>
    <row r="554" spans="1:11">
      <c r="A554" s="1" t="s">
        <v>573</v>
      </c>
      <c r="B554" s="1" t="s">
        <v>18</v>
      </c>
      <c r="C554" s="1" t="s">
        <v>16</v>
      </c>
      <c r="D554" s="10">
        <v>4196</v>
      </c>
      <c r="E554" s="10">
        <v>4056</v>
      </c>
      <c r="F554" s="4">
        <v>118</v>
      </c>
      <c r="G554" s="2">
        <v>45464</v>
      </c>
      <c r="H554" s="21">
        <f t="shared" si="8"/>
        <v>45444</v>
      </c>
      <c r="I554" s="26">
        <v>45465</v>
      </c>
      <c r="J554" s="3">
        <v>17.440000000000001</v>
      </c>
      <c r="K554" s="10">
        <f>Table2[[#This Row],[Order Quantity]]*Table2[[#This Row],[Price per Unit]]</f>
        <v>73178.240000000005</v>
      </c>
    </row>
    <row r="555" spans="1:11">
      <c r="A555" s="1" t="s">
        <v>574</v>
      </c>
      <c r="B555" s="1" t="s">
        <v>25</v>
      </c>
      <c r="C555" s="1" t="s">
        <v>22</v>
      </c>
      <c r="D555" s="10">
        <v>2503</v>
      </c>
      <c r="E555" s="10">
        <v>2468</v>
      </c>
      <c r="F555" s="4">
        <v>96</v>
      </c>
      <c r="G555" s="2">
        <v>45548</v>
      </c>
      <c r="H555" s="21">
        <f t="shared" si="8"/>
        <v>45536</v>
      </c>
      <c r="I555" s="26">
        <v>45548</v>
      </c>
      <c r="J555" s="3">
        <v>21.95</v>
      </c>
      <c r="K555" s="10">
        <f>Table2[[#This Row],[Order Quantity]]*Table2[[#This Row],[Price per Unit]]</f>
        <v>54940.85</v>
      </c>
    </row>
    <row r="556" spans="1:11">
      <c r="A556" s="1" t="s">
        <v>575</v>
      </c>
      <c r="B556" s="1" t="s">
        <v>27</v>
      </c>
      <c r="C556" s="1" t="s">
        <v>16</v>
      </c>
      <c r="D556" s="10">
        <v>653</v>
      </c>
      <c r="E556" s="10">
        <v>677</v>
      </c>
      <c r="F556" s="4">
        <v>11</v>
      </c>
      <c r="G556" s="2">
        <v>45494</v>
      </c>
      <c r="H556" s="21">
        <f t="shared" si="8"/>
        <v>45474</v>
      </c>
      <c r="I556" s="26">
        <v>45494</v>
      </c>
      <c r="J556" s="3">
        <v>15.12</v>
      </c>
      <c r="K556" s="10">
        <f>Table2[[#This Row],[Order Quantity]]*Table2[[#This Row],[Price per Unit]]</f>
        <v>9873.3599999999988</v>
      </c>
    </row>
    <row r="557" spans="1:11">
      <c r="A557" s="1" t="s">
        <v>576</v>
      </c>
      <c r="B557" s="1" t="s">
        <v>25</v>
      </c>
      <c r="C557" s="1" t="s">
        <v>45</v>
      </c>
      <c r="D557" s="10">
        <v>4700</v>
      </c>
      <c r="E557" s="10">
        <v>4391</v>
      </c>
      <c r="F557" s="4">
        <v>337</v>
      </c>
      <c r="G557" s="2">
        <v>45528</v>
      </c>
      <c r="H557" s="21">
        <f t="shared" si="8"/>
        <v>45505</v>
      </c>
      <c r="I557" s="26">
        <v>45528</v>
      </c>
      <c r="J557" s="3">
        <v>7.96</v>
      </c>
      <c r="K557" s="10">
        <f>Table2[[#This Row],[Order Quantity]]*Table2[[#This Row],[Price per Unit]]</f>
        <v>37412</v>
      </c>
    </row>
    <row r="558" spans="1:11">
      <c r="A558" s="1" t="s">
        <v>577</v>
      </c>
      <c r="B558" s="1" t="s">
        <v>15</v>
      </c>
      <c r="C558" s="1" t="s">
        <v>13</v>
      </c>
      <c r="D558" s="10">
        <v>3280</v>
      </c>
      <c r="E558" s="10">
        <v>3164</v>
      </c>
      <c r="F558" s="4">
        <v>190</v>
      </c>
      <c r="G558" s="2">
        <v>45440</v>
      </c>
      <c r="H558" s="21">
        <f t="shared" si="8"/>
        <v>45413</v>
      </c>
      <c r="I558" s="26">
        <v>45440</v>
      </c>
      <c r="J558" s="3">
        <v>16.27</v>
      </c>
      <c r="K558" s="10">
        <f>Table2[[#This Row],[Order Quantity]]*Table2[[#This Row],[Price per Unit]]</f>
        <v>53365.599999999999</v>
      </c>
    </row>
    <row r="559" spans="1:11">
      <c r="A559" s="1" t="s">
        <v>578</v>
      </c>
      <c r="B559" s="1" t="s">
        <v>18</v>
      </c>
      <c r="C559" s="1" t="s">
        <v>16</v>
      </c>
      <c r="D559" s="10">
        <v>3135</v>
      </c>
      <c r="E559" s="10">
        <v>3178</v>
      </c>
      <c r="F559" s="4">
        <v>94</v>
      </c>
      <c r="G559" s="2">
        <v>45594</v>
      </c>
      <c r="H559" s="21">
        <f t="shared" si="8"/>
        <v>45597</v>
      </c>
      <c r="I559" s="26">
        <v>45599</v>
      </c>
      <c r="J559" s="3">
        <v>12.06</v>
      </c>
      <c r="K559" s="10">
        <f>Table2[[#This Row],[Order Quantity]]*Table2[[#This Row],[Price per Unit]]</f>
        <v>37808.1</v>
      </c>
    </row>
    <row r="560" spans="1:11">
      <c r="A560" s="1" t="s">
        <v>579</v>
      </c>
      <c r="B560" s="1" t="s">
        <v>27</v>
      </c>
      <c r="C560" s="1" t="s">
        <v>16</v>
      </c>
      <c r="D560" s="10">
        <v>2679</v>
      </c>
      <c r="E560" s="10">
        <v>2741</v>
      </c>
      <c r="F560" s="4">
        <v>197</v>
      </c>
      <c r="G560" s="2">
        <v>45400</v>
      </c>
      <c r="H560" s="21">
        <f t="shared" si="8"/>
        <v>45383</v>
      </c>
      <c r="I560" s="26">
        <v>45402</v>
      </c>
      <c r="J560" s="3">
        <v>15.89</v>
      </c>
      <c r="K560" s="10">
        <f>Table2[[#This Row],[Order Quantity]]*Table2[[#This Row],[Price per Unit]]</f>
        <v>42569.310000000005</v>
      </c>
    </row>
    <row r="561" spans="1:11">
      <c r="A561" s="1" t="s">
        <v>580</v>
      </c>
      <c r="B561" s="1" t="s">
        <v>25</v>
      </c>
      <c r="C561" s="1" t="s">
        <v>16</v>
      </c>
      <c r="D561" s="10">
        <v>4475</v>
      </c>
      <c r="E561" s="10">
        <v>4152</v>
      </c>
      <c r="F561" s="4">
        <v>137</v>
      </c>
      <c r="G561" s="2">
        <v>45615</v>
      </c>
      <c r="H561" s="21">
        <f t="shared" si="8"/>
        <v>45597</v>
      </c>
      <c r="I561" s="26">
        <v>45615</v>
      </c>
      <c r="J561" s="3">
        <v>22.1</v>
      </c>
      <c r="K561" s="10">
        <f>Table2[[#This Row],[Order Quantity]]*Table2[[#This Row],[Price per Unit]]</f>
        <v>98897.5</v>
      </c>
    </row>
    <row r="562" spans="1:11">
      <c r="A562" s="1" t="s">
        <v>581</v>
      </c>
      <c r="B562" s="1" t="s">
        <v>27</v>
      </c>
      <c r="C562" s="1" t="s">
        <v>13</v>
      </c>
      <c r="D562" s="10">
        <v>770</v>
      </c>
      <c r="E562" s="10">
        <v>794</v>
      </c>
      <c r="F562" s="4">
        <v>33</v>
      </c>
      <c r="G562" s="2">
        <v>45574</v>
      </c>
      <c r="H562" s="21">
        <f t="shared" si="8"/>
        <v>45566</v>
      </c>
      <c r="I562" s="26">
        <v>45581</v>
      </c>
      <c r="J562" s="3">
        <v>6.9</v>
      </c>
      <c r="K562" s="10">
        <f>Table2[[#This Row],[Order Quantity]]*Table2[[#This Row],[Price per Unit]]</f>
        <v>5313</v>
      </c>
    </row>
    <row r="563" spans="1:11">
      <c r="A563" s="1" t="s">
        <v>582</v>
      </c>
      <c r="B563" s="1" t="s">
        <v>27</v>
      </c>
      <c r="C563" s="1" t="s">
        <v>45</v>
      </c>
      <c r="D563" s="10">
        <v>4107</v>
      </c>
      <c r="E563" s="10">
        <v>3913</v>
      </c>
      <c r="F563" s="4">
        <v>265</v>
      </c>
      <c r="G563" s="2">
        <v>45472</v>
      </c>
      <c r="H563" s="21">
        <f t="shared" si="8"/>
        <v>45474</v>
      </c>
      <c r="I563" s="26">
        <v>45479</v>
      </c>
      <c r="J563" s="3">
        <v>15.31</v>
      </c>
      <c r="K563" s="10">
        <f>Table2[[#This Row],[Order Quantity]]*Table2[[#This Row],[Price per Unit]]</f>
        <v>62878.170000000006</v>
      </c>
    </row>
    <row r="564" spans="1:11">
      <c r="A564" s="1" t="s">
        <v>583</v>
      </c>
      <c r="B564" s="1" t="s">
        <v>18</v>
      </c>
      <c r="C564" s="1" t="s">
        <v>20</v>
      </c>
      <c r="D564" s="10">
        <v>778</v>
      </c>
      <c r="E564" s="10">
        <v>808</v>
      </c>
      <c r="F564" s="4">
        <v>30</v>
      </c>
      <c r="G564" s="2">
        <v>45460</v>
      </c>
      <c r="H564" s="21">
        <f t="shared" si="8"/>
        <v>45444</v>
      </c>
      <c r="I564" s="26">
        <v>45460</v>
      </c>
      <c r="J564" s="3">
        <v>15.93</v>
      </c>
      <c r="K564" s="10">
        <f>Table2[[#This Row],[Order Quantity]]*Table2[[#This Row],[Price per Unit]]</f>
        <v>12393.539999999999</v>
      </c>
    </row>
    <row r="565" spans="1:11">
      <c r="A565" s="1" t="s">
        <v>584</v>
      </c>
      <c r="B565" s="1" t="s">
        <v>27</v>
      </c>
      <c r="C565" s="1" t="s">
        <v>22</v>
      </c>
      <c r="D565" s="10">
        <v>4332</v>
      </c>
      <c r="E565" s="10">
        <v>3938</v>
      </c>
      <c r="F565" s="4">
        <v>139</v>
      </c>
      <c r="G565" s="2">
        <v>45459</v>
      </c>
      <c r="H565" s="21">
        <f t="shared" si="8"/>
        <v>45444</v>
      </c>
      <c r="I565" s="26">
        <v>45464</v>
      </c>
      <c r="J565" s="3">
        <v>19.46</v>
      </c>
      <c r="K565" s="10">
        <f>Table2[[#This Row],[Order Quantity]]*Table2[[#This Row],[Price per Unit]]</f>
        <v>84300.72</v>
      </c>
    </row>
    <row r="566" spans="1:11">
      <c r="A566" s="1" t="s">
        <v>585</v>
      </c>
      <c r="B566" s="1" t="s">
        <v>18</v>
      </c>
      <c r="C566" s="1" t="s">
        <v>20</v>
      </c>
      <c r="D566" s="10">
        <v>3656</v>
      </c>
      <c r="E566" s="10">
        <v>3457</v>
      </c>
      <c r="F566" s="4">
        <v>90</v>
      </c>
      <c r="G566" s="2">
        <v>45594</v>
      </c>
      <c r="H566" s="21">
        <f t="shared" si="8"/>
        <v>45566</v>
      </c>
      <c r="I566" s="26">
        <v>45595</v>
      </c>
      <c r="J566" s="3">
        <v>5.03</v>
      </c>
      <c r="K566" s="10">
        <f>Table2[[#This Row],[Order Quantity]]*Table2[[#This Row],[Price per Unit]]</f>
        <v>18389.68</v>
      </c>
    </row>
    <row r="567" spans="1:11">
      <c r="A567" s="1" t="s">
        <v>586</v>
      </c>
      <c r="B567" s="1" t="s">
        <v>15</v>
      </c>
      <c r="C567" s="1" t="s">
        <v>13</v>
      </c>
      <c r="D567" s="10">
        <v>4559</v>
      </c>
      <c r="E567" s="10">
        <v>4315</v>
      </c>
      <c r="F567" s="4">
        <v>264</v>
      </c>
      <c r="G567" s="2">
        <v>45460</v>
      </c>
      <c r="H567" s="21">
        <f t="shared" si="8"/>
        <v>45444</v>
      </c>
      <c r="I567" s="26">
        <v>45462</v>
      </c>
      <c r="J567" s="3">
        <v>17.809999999999999</v>
      </c>
      <c r="K567" s="10">
        <f>Table2[[#This Row],[Order Quantity]]*Table2[[#This Row],[Price per Unit]]</f>
        <v>81195.789999999994</v>
      </c>
    </row>
    <row r="568" spans="1:11">
      <c r="A568" s="1" t="s">
        <v>587</v>
      </c>
      <c r="B568" s="1" t="s">
        <v>12</v>
      </c>
      <c r="C568" s="1" t="s">
        <v>13</v>
      </c>
      <c r="D568" s="10">
        <v>3914</v>
      </c>
      <c r="E568" s="10">
        <v>3880</v>
      </c>
      <c r="F568" s="4">
        <v>282</v>
      </c>
      <c r="G568" s="2">
        <v>45403</v>
      </c>
      <c r="H568" s="21">
        <f t="shared" si="8"/>
        <v>45383</v>
      </c>
      <c r="I568" s="26">
        <v>45403</v>
      </c>
      <c r="J568" s="3">
        <v>21.36</v>
      </c>
      <c r="K568" s="10">
        <f>Table2[[#This Row],[Order Quantity]]*Table2[[#This Row],[Price per Unit]]</f>
        <v>83603.039999999994</v>
      </c>
    </row>
    <row r="569" spans="1:11">
      <c r="A569" s="1" t="s">
        <v>588</v>
      </c>
      <c r="B569" s="1" t="s">
        <v>18</v>
      </c>
      <c r="C569" s="1" t="s">
        <v>20</v>
      </c>
      <c r="D569" s="10">
        <v>705</v>
      </c>
      <c r="E569" s="10">
        <v>647</v>
      </c>
      <c r="F569" s="4">
        <v>21</v>
      </c>
      <c r="G569" s="2">
        <v>45519</v>
      </c>
      <c r="H569" s="21">
        <f t="shared" si="8"/>
        <v>45505</v>
      </c>
      <c r="I569" s="26">
        <v>45524</v>
      </c>
      <c r="J569" s="3">
        <v>24.99</v>
      </c>
      <c r="K569" s="10">
        <f>Table2[[#This Row],[Order Quantity]]*Table2[[#This Row],[Price per Unit]]</f>
        <v>17617.949999999997</v>
      </c>
    </row>
    <row r="570" spans="1:11">
      <c r="A570" s="1" t="s">
        <v>589</v>
      </c>
      <c r="B570" s="1" t="s">
        <v>12</v>
      </c>
      <c r="C570" s="1" t="s">
        <v>20</v>
      </c>
      <c r="D570" s="10">
        <v>4099</v>
      </c>
      <c r="E570" s="10">
        <v>4152</v>
      </c>
      <c r="F570" s="4">
        <v>155</v>
      </c>
      <c r="G570" s="2">
        <v>45532</v>
      </c>
      <c r="H570" s="21">
        <f t="shared" si="8"/>
        <v>45536</v>
      </c>
      <c r="I570" s="26">
        <v>45539</v>
      </c>
      <c r="J570" s="3">
        <v>16.809999999999999</v>
      </c>
      <c r="K570" s="10">
        <f>Table2[[#This Row],[Order Quantity]]*Table2[[#This Row],[Price per Unit]]</f>
        <v>68904.189999999988</v>
      </c>
    </row>
    <row r="571" spans="1:11">
      <c r="A571" s="1" t="s">
        <v>590</v>
      </c>
      <c r="B571" s="1" t="s">
        <v>25</v>
      </c>
      <c r="C571" s="1" t="s">
        <v>16</v>
      </c>
      <c r="D571" s="10">
        <v>4142</v>
      </c>
      <c r="E571" s="10">
        <v>3985</v>
      </c>
      <c r="F571" s="4">
        <v>250</v>
      </c>
      <c r="G571" s="2">
        <v>45453</v>
      </c>
      <c r="H571" s="21">
        <f t="shared" si="8"/>
        <v>45444</v>
      </c>
      <c r="I571" s="26">
        <v>45458</v>
      </c>
      <c r="J571" s="3">
        <v>5.41</v>
      </c>
      <c r="K571" s="10">
        <f>Table2[[#This Row],[Order Quantity]]*Table2[[#This Row],[Price per Unit]]</f>
        <v>22408.22</v>
      </c>
    </row>
    <row r="572" spans="1:11">
      <c r="A572" s="1" t="s">
        <v>591</v>
      </c>
      <c r="B572" s="1" t="s">
        <v>27</v>
      </c>
      <c r="C572" s="1" t="s">
        <v>22</v>
      </c>
      <c r="D572" s="10">
        <v>4849</v>
      </c>
      <c r="E572" s="10">
        <v>4788</v>
      </c>
      <c r="F572" s="4">
        <v>367</v>
      </c>
      <c r="G572" s="2">
        <v>45564</v>
      </c>
      <c r="H572" s="21">
        <f t="shared" si="8"/>
        <v>45536</v>
      </c>
      <c r="I572" s="26">
        <v>45565</v>
      </c>
      <c r="J572" s="3">
        <v>5.85</v>
      </c>
      <c r="K572" s="10">
        <f>Table2[[#This Row],[Order Quantity]]*Table2[[#This Row],[Price per Unit]]</f>
        <v>28366.649999999998</v>
      </c>
    </row>
    <row r="573" spans="1:11">
      <c r="A573" s="1" t="s">
        <v>592</v>
      </c>
      <c r="B573" s="1" t="s">
        <v>12</v>
      </c>
      <c r="C573" s="1" t="s">
        <v>22</v>
      </c>
      <c r="D573" s="10">
        <v>652</v>
      </c>
      <c r="E573" s="10">
        <v>599</v>
      </c>
      <c r="F573" s="4">
        <v>29</v>
      </c>
      <c r="G573" s="2">
        <v>45482</v>
      </c>
      <c r="H573" s="21">
        <f t="shared" si="8"/>
        <v>45474</v>
      </c>
      <c r="I573" s="26">
        <v>45482</v>
      </c>
      <c r="J573" s="3">
        <v>20.61</v>
      </c>
      <c r="K573" s="10">
        <f>Table2[[#This Row],[Order Quantity]]*Table2[[#This Row],[Price per Unit]]</f>
        <v>13437.72</v>
      </c>
    </row>
    <row r="574" spans="1:11">
      <c r="A574" s="1" t="s">
        <v>593</v>
      </c>
      <c r="B574" s="1" t="s">
        <v>25</v>
      </c>
      <c r="C574" s="1" t="s">
        <v>16</v>
      </c>
      <c r="D574" s="10">
        <v>3110</v>
      </c>
      <c r="E574" s="10">
        <v>2971</v>
      </c>
      <c r="F574" s="4">
        <v>223</v>
      </c>
      <c r="G574" s="2">
        <v>45395</v>
      </c>
      <c r="H574" s="21">
        <f t="shared" si="8"/>
        <v>45383</v>
      </c>
      <c r="I574" s="26">
        <v>45400</v>
      </c>
      <c r="J574" s="3">
        <v>21.55</v>
      </c>
      <c r="K574" s="10">
        <f>Table2[[#This Row],[Order Quantity]]*Table2[[#This Row],[Price per Unit]]</f>
        <v>67020.5</v>
      </c>
    </row>
    <row r="575" spans="1:11">
      <c r="A575" s="1" t="s">
        <v>594</v>
      </c>
      <c r="B575" s="1" t="s">
        <v>25</v>
      </c>
      <c r="C575" s="1" t="s">
        <v>45</v>
      </c>
      <c r="D575" s="10">
        <v>3994</v>
      </c>
      <c r="E575" s="10">
        <v>3871</v>
      </c>
      <c r="F575" s="4">
        <v>288</v>
      </c>
      <c r="G575" s="2">
        <v>45458</v>
      </c>
      <c r="H575" s="21">
        <f t="shared" si="8"/>
        <v>45444</v>
      </c>
      <c r="I575" s="26">
        <v>45460</v>
      </c>
      <c r="J575" s="3">
        <v>18.89</v>
      </c>
      <c r="K575" s="10">
        <f>Table2[[#This Row],[Order Quantity]]*Table2[[#This Row],[Price per Unit]]</f>
        <v>75446.66</v>
      </c>
    </row>
    <row r="576" spans="1:11">
      <c r="A576" s="1" t="s">
        <v>595</v>
      </c>
      <c r="B576" s="1" t="s">
        <v>18</v>
      </c>
      <c r="C576" s="1" t="s">
        <v>20</v>
      </c>
      <c r="D576" s="10">
        <v>2161</v>
      </c>
      <c r="E576" s="10">
        <v>2056</v>
      </c>
      <c r="F576" s="4">
        <v>25</v>
      </c>
      <c r="G576" s="2">
        <v>45364</v>
      </c>
      <c r="H576" s="21">
        <f t="shared" si="8"/>
        <v>45352</v>
      </c>
      <c r="I576" s="26">
        <v>45366</v>
      </c>
      <c r="J576" s="3">
        <v>6.04</v>
      </c>
      <c r="K576" s="10">
        <f>Table2[[#This Row],[Order Quantity]]*Table2[[#This Row],[Price per Unit]]</f>
        <v>13052.44</v>
      </c>
    </row>
    <row r="577" spans="1:11">
      <c r="A577" s="1" t="s">
        <v>596</v>
      </c>
      <c r="B577" s="1" t="s">
        <v>12</v>
      </c>
      <c r="C577" s="1" t="s">
        <v>22</v>
      </c>
      <c r="D577" s="10">
        <v>4857</v>
      </c>
      <c r="E577" s="10">
        <v>4855</v>
      </c>
      <c r="F577" s="4">
        <v>102</v>
      </c>
      <c r="G577" s="2">
        <v>45340</v>
      </c>
      <c r="H577" s="21">
        <f t="shared" si="8"/>
        <v>45323</v>
      </c>
      <c r="I577" s="26">
        <v>45341</v>
      </c>
      <c r="J577" s="3">
        <v>7.38</v>
      </c>
      <c r="K577" s="10">
        <f>Table2[[#This Row],[Order Quantity]]*Table2[[#This Row],[Price per Unit]]</f>
        <v>35844.659999999996</v>
      </c>
    </row>
    <row r="578" spans="1:11">
      <c r="A578" s="1" t="s">
        <v>597</v>
      </c>
      <c r="B578" s="1" t="s">
        <v>27</v>
      </c>
      <c r="C578" s="1" t="s">
        <v>20</v>
      </c>
      <c r="D578" s="10">
        <v>2403</v>
      </c>
      <c r="E578" s="10">
        <v>2365</v>
      </c>
      <c r="F578" s="4">
        <v>180</v>
      </c>
      <c r="G578" s="2">
        <v>45562</v>
      </c>
      <c r="H578" s="21">
        <f t="shared" ref="H578:H641" si="9">DATE(YEAR(I578), MONTH(I578), 1)</f>
        <v>45536</v>
      </c>
      <c r="I578" s="26">
        <v>45563</v>
      </c>
      <c r="J578" s="3">
        <v>14.93</v>
      </c>
      <c r="K578" s="10">
        <f>Table2[[#This Row],[Order Quantity]]*Table2[[#This Row],[Price per Unit]]</f>
        <v>35876.79</v>
      </c>
    </row>
    <row r="579" spans="1:11">
      <c r="A579" s="1" t="s">
        <v>598</v>
      </c>
      <c r="B579" s="1" t="s">
        <v>27</v>
      </c>
      <c r="C579" s="1" t="s">
        <v>13</v>
      </c>
      <c r="D579" s="10">
        <v>2067</v>
      </c>
      <c r="E579" s="10">
        <v>1980</v>
      </c>
      <c r="F579" s="4">
        <v>145</v>
      </c>
      <c r="G579" s="2">
        <v>45334</v>
      </c>
      <c r="H579" s="21">
        <f t="shared" si="9"/>
        <v>45323</v>
      </c>
      <c r="I579" s="26">
        <v>45335</v>
      </c>
      <c r="J579" s="3">
        <v>5.32</v>
      </c>
      <c r="K579" s="10">
        <f>Table2[[#This Row],[Order Quantity]]*Table2[[#This Row],[Price per Unit]]</f>
        <v>10996.44</v>
      </c>
    </row>
    <row r="580" spans="1:11">
      <c r="A580" s="1" t="s">
        <v>599</v>
      </c>
      <c r="B580" s="1" t="s">
        <v>12</v>
      </c>
      <c r="C580" s="1" t="s">
        <v>45</v>
      </c>
      <c r="D580" s="10">
        <v>3990</v>
      </c>
      <c r="E580" s="10">
        <v>3597</v>
      </c>
      <c r="F580" s="4">
        <v>213</v>
      </c>
      <c r="G580" s="2">
        <v>45480</v>
      </c>
      <c r="H580" s="21">
        <f t="shared" si="9"/>
        <v>45474</v>
      </c>
      <c r="I580" s="26">
        <v>45485</v>
      </c>
      <c r="J580" s="3">
        <v>24.41</v>
      </c>
      <c r="K580" s="10">
        <f>Table2[[#This Row],[Order Quantity]]*Table2[[#This Row],[Price per Unit]]</f>
        <v>97395.9</v>
      </c>
    </row>
    <row r="581" spans="1:11">
      <c r="A581" s="1" t="s">
        <v>600</v>
      </c>
      <c r="B581" s="1" t="s">
        <v>15</v>
      </c>
      <c r="C581" s="1" t="s">
        <v>20</v>
      </c>
      <c r="D581" s="10">
        <v>3886</v>
      </c>
      <c r="E581" s="10">
        <v>3789</v>
      </c>
      <c r="F581" s="4">
        <v>225</v>
      </c>
      <c r="G581" s="2">
        <v>45459</v>
      </c>
      <c r="H581" s="21">
        <f t="shared" si="9"/>
        <v>45444</v>
      </c>
      <c r="I581" s="26">
        <v>45459</v>
      </c>
      <c r="J581" s="3">
        <v>15.69</v>
      </c>
      <c r="K581" s="10">
        <f>Table2[[#This Row],[Order Quantity]]*Table2[[#This Row],[Price per Unit]]</f>
        <v>60971.34</v>
      </c>
    </row>
    <row r="582" spans="1:11">
      <c r="A582" s="1" t="s">
        <v>601</v>
      </c>
      <c r="B582" s="1" t="s">
        <v>27</v>
      </c>
      <c r="C582" s="1" t="s">
        <v>16</v>
      </c>
      <c r="D582" s="10">
        <v>2740</v>
      </c>
      <c r="E582" s="10">
        <v>2592</v>
      </c>
      <c r="F582" s="4">
        <v>113</v>
      </c>
      <c r="G582" s="2">
        <v>45531</v>
      </c>
      <c r="H582" s="21">
        <f t="shared" si="9"/>
        <v>45536</v>
      </c>
      <c r="I582" s="26">
        <v>45538</v>
      </c>
      <c r="J582" s="3">
        <v>7.37</v>
      </c>
      <c r="K582" s="10">
        <f>Table2[[#This Row],[Order Quantity]]*Table2[[#This Row],[Price per Unit]]</f>
        <v>20193.8</v>
      </c>
    </row>
    <row r="583" spans="1:11">
      <c r="A583" s="1" t="s">
        <v>602</v>
      </c>
      <c r="B583" s="1" t="s">
        <v>15</v>
      </c>
      <c r="C583" s="1" t="s">
        <v>45</v>
      </c>
      <c r="D583" s="10">
        <v>1158</v>
      </c>
      <c r="E583" s="10">
        <v>1111</v>
      </c>
      <c r="F583" s="4">
        <v>21</v>
      </c>
      <c r="G583" s="2">
        <v>45439</v>
      </c>
      <c r="H583" s="21">
        <f t="shared" si="9"/>
        <v>45444</v>
      </c>
      <c r="I583" s="26">
        <v>45444</v>
      </c>
      <c r="J583" s="3">
        <v>22.31</v>
      </c>
      <c r="K583" s="10">
        <f>Table2[[#This Row],[Order Quantity]]*Table2[[#This Row],[Price per Unit]]</f>
        <v>25834.98</v>
      </c>
    </row>
    <row r="584" spans="1:11">
      <c r="A584" s="1" t="s">
        <v>603</v>
      </c>
      <c r="B584" s="1" t="s">
        <v>18</v>
      </c>
      <c r="C584" s="1" t="s">
        <v>22</v>
      </c>
      <c r="D584" s="10">
        <v>951</v>
      </c>
      <c r="E584" s="10">
        <v>945</v>
      </c>
      <c r="F584" s="4">
        <v>30</v>
      </c>
      <c r="G584" s="2">
        <v>45604</v>
      </c>
      <c r="H584" s="21">
        <f t="shared" si="9"/>
        <v>45597</v>
      </c>
      <c r="I584" s="26">
        <v>45606</v>
      </c>
      <c r="J584" s="3">
        <v>21.33</v>
      </c>
      <c r="K584" s="10">
        <f>Table2[[#This Row],[Order Quantity]]*Table2[[#This Row],[Price per Unit]]</f>
        <v>20284.829999999998</v>
      </c>
    </row>
    <row r="585" spans="1:11">
      <c r="A585" s="1" t="s">
        <v>604</v>
      </c>
      <c r="B585" s="1" t="s">
        <v>18</v>
      </c>
      <c r="C585" s="1" t="s">
        <v>20</v>
      </c>
      <c r="D585" s="10">
        <v>3066</v>
      </c>
      <c r="E585" s="10">
        <v>2903</v>
      </c>
      <c r="F585" s="4">
        <v>219</v>
      </c>
      <c r="G585" s="2">
        <v>45374</v>
      </c>
      <c r="H585" s="21">
        <f t="shared" si="9"/>
        <v>45352</v>
      </c>
      <c r="I585" s="26">
        <v>45374</v>
      </c>
      <c r="J585" s="3">
        <v>22.01</v>
      </c>
      <c r="K585" s="10">
        <f>Table2[[#This Row],[Order Quantity]]*Table2[[#This Row],[Price per Unit]]</f>
        <v>67482.66</v>
      </c>
    </row>
    <row r="586" spans="1:11">
      <c r="A586" s="1" t="s">
        <v>605</v>
      </c>
      <c r="B586" s="1" t="s">
        <v>27</v>
      </c>
      <c r="C586" s="1" t="s">
        <v>45</v>
      </c>
      <c r="D586" s="10">
        <v>612</v>
      </c>
      <c r="E586" s="10">
        <v>552</v>
      </c>
      <c r="F586" s="4">
        <v>20</v>
      </c>
      <c r="G586" s="2">
        <v>45431</v>
      </c>
      <c r="H586" s="21">
        <f t="shared" si="9"/>
        <v>45413</v>
      </c>
      <c r="I586" s="26">
        <v>45431</v>
      </c>
      <c r="J586" s="3">
        <v>8.83</v>
      </c>
      <c r="K586" s="10">
        <f>Table2[[#This Row],[Order Quantity]]*Table2[[#This Row],[Price per Unit]]</f>
        <v>5403.96</v>
      </c>
    </row>
    <row r="587" spans="1:11">
      <c r="A587" s="1" t="s">
        <v>606</v>
      </c>
      <c r="B587" s="1" t="s">
        <v>18</v>
      </c>
      <c r="C587" s="1" t="s">
        <v>22</v>
      </c>
      <c r="D587" s="10">
        <v>3449</v>
      </c>
      <c r="E587" s="10">
        <v>3276</v>
      </c>
      <c r="F587" s="4">
        <v>200</v>
      </c>
      <c r="G587" s="2">
        <v>45409</v>
      </c>
      <c r="H587" s="21">
        <f t="shared" si="9"/>
        <v>45413</v>
      </c>
      <c r="I587" s="26">
        <v>45416</v>
      </c>
      <c r="J587" s="3">
        <v>13.09</v>
      </c>
      <c r="K587" s="10">
        <f>Table2[[#This Row],[Order Quantity]]*Table2[[#This Row],[Price per Unit]]</f>
        <v>45147.409999999996</v>
      </c>
    </row>
    <row r="588" spans="1:11">
      <c r="A588" s="1" t="s">
        <v>607</v>
      </c>
      <c r="B588" s="1" t="s">
        <v>15</v>
      </c>
      <c r="C588" s="1" t="s">
        <v>22</v>
      </c>
      <c r="D588" s="10">
        <v>3604</v>
      </c>
      <c r="E588" s="10">
        <v>3398</v>
      </c>
      <c r="F588" s="4">
        <v>136</v>
      </c>
      <c r="G588" s="2">
        <v>45488</v>
      </c>
      <c r="H588" s="21">
        <f t="shared" si="9"/>
        <v>45474</v>
      </c>
      <c r="I588" s="26">
        <v>45488</v>
      </c>
      <c r="J588" s="3">
        <v>18.71</v>
      </c>
      <c r="K588" s="10">
        <f>Table2[[#This Row],[Order Quantity]]*Table2[[#This Row],[Price per Unit]]</f>
        <v>67430.84</v>
      </c>
    </row>
    <row r="589" spans="1:11">
      <c r="A589" s="1" t="s">
        <v>608</v>
      </c>
      <c r="B589" s="1" t="s">
        <v>27</v>
      </c>
      <c r="C589" s="1" t="s">
        <v>16</v>
      </c>
      <c r="D589" s="10">
        <v>1973</v>
      </c>
      <c r="E589" s="10">
        <v>1836</v>
      </c>
      <c r="F589" s="4">
        <v>67</v>
      </c>
      <c r="G589" s="2">
        <v>45375</v>
      </c>
      <c r="H589" s="21">
        <f t="shared" si="9"/>
        <v>45352</v>
      </c>
      <c r="I589" s="26">
        <v>45378</v>
      </c>
      <c r="J589" s="3">
        <v>24.64</v>
      </c>
      <c r="K589" s="10">
        <f>Table2[[#This Row],[Order Quantity]]*Table2[[#This Row],[Price per Unit]]</f>
        <v>48614.720000000001</v>
      </c>
    </row>
    <row r="590" spans="1:11">
      <c r="A590" s="1" t="s">
        <v>609</v>
      </c>
      <c r="B590" s="1" t="s">
        <v>18</v>
      </c>
      <c r="C590" s="1" t="s">
        <v>16</v>
      </c>
      <c r="D590" s="10">
        <v>2938</v>
      </c>
      <c r="E590" s="10">
        <v>2922</v>
      </c>
      <c r="F590" s="4">
        <v>69</v>
      </c>
      <c r="G590" s="2">
        <v>45601</v>
      </c>
      <c r="H590" s="21">
        <f t="shared" si="9"/>
        <v>45597</v>
      </c>
      <c r="I590" s="26">
        <v>45603</v>
      </c>
      <c r="J590" s="3">
        <v>13.37</v>
      </c>
      <c r="K590" s="10">
        <f>Table2[[#This Row],[Order Quantity]]*Table2[[#This Row],[Price per Unit]]</f>
        <v>39281.06</v>
      </c>
    </row>
    <row r="591" spans="1:11">
      <c r="A591" s="1" t="s">
        <v>610</v>
      </c>
      <c r="B591" s="1" t="s">
        <v>18</v>
      </c>
      <c r="C591" s="1" t="s">
        <v>22</v>
      </c>
      <c r="D591" s="10">
        <v>3261</v>
      </c>
      <c r="E591" s="10">
        <v>3382</v>
      </c>
      <c r="F591" s="4">
        <v>36</v>
      </c>
      <c r="G591" s="2">
        <v>45493</v>
      </c>
      <c r="H591" s="21">
        <f t="shared" si="9"/>
        <v>45474</v>
      </c>
      <c r="I591" s="26">
        <v>45493</v>
      </c>
      <c r="J591" s="3">
        <v>14</v>
      </c>
      <c r="K591" s="10">
        <f>Table2[[#This Row],[Order Quantity]]*Table2[[#This Row],[Price per Unit]]</f>
        <v>45654</v>
      </c>
    </row>
    <row r="592" spans="1:11">
      <c r="A592" s="1" t="s">
        <v>611</v>
      </c>
      <c r="B592" s="1" t="s">
        <v>25</v>
      </c>
      <c r="C592" s="1" t="s">
        <v>20</v>
      </c>
      <c r="D592" s="10">
        <v>2869</v>
      </c>
      <c r="E592" s="10">
        <v>2999</v>
      </c>
      <c r="F592" s="4">
        <v>53</v>
      </c>
      <c r="G592" s="2">
        <v>45373</v>
      </c>
      <c r="H592" s="21">
        <f t="shared" si="9"/>
        <v>45352</v>
      </c>
      <c r="I592" s="26">
        <v>45373</v>
      </c>
      <c r="J592" s="3">
        <v>13.07</v>
      </c>
      <c r="K592" s="10">
        <f>Table2[[#This Row],[Order Quantity]]*Table2[[#This Row],[Price per Unit]]</f>
        <v>37497.83</v>
      </c>
    </row>
    <row r="593" spans="1:11">
      <c r="A593" s="1" t="s">
        <v>612</v>
      </c>
      <c r="B593" s="1" t="s">
        <v>12</v>
      </c>
      <c r="C593" s="1" t="s">
        <v>22</v>
      </c>
      <c r="D593" s="10">
        <v>4302</v>
      </c>
      <c r="E593" s="10">
        <v>4207</v>
      </c>
      <c r="F593" s="4">
        <v>63</v>
      </c>
      <c r="G593" s="2">
        <v>45389</v>
      </c>
      <c r="H593" s="21">
        <f t="shared" si="9"/>
        <v>45383</v>
      </c>
      <c r="I593" s="26">
        <v>45389</v>
      </c>
      <c r="J593" s="3">
        <v>17.11</v>
      </c>
      <c r="K593" s="10">
        <f>Table2[[#This Row],[Order Quantity]]*Table2[[#This Row],[Price per Unit]]</f>
        <v>73607.22</v>
      </c>
    </row>
    <row r="594" spans="1:11">
      <c r="A594" s="1" t="s">
        <v>613</v>
      </c>
      <c r="B594" s="1" t="s">
        <v>18</v>
      </c>
      <c r="C594" s="1" t="s">
        <v>20</v>
      </c>
      <c r="D594" s="10">
        <v>707</v>
      </c>
      <c r="E594" s="10">
        <v>703</v>
      </c>
      <c r="F594" s="4">
        <v>34</v>
      </c>
      <c r="G594" s="2">
        <v>45445</v>
      </c>
      <c r="H594" s="21">
        <f t="shared" si="9"/>
        <v>45444</v>
      </c>
      <c r="I594" s="26">
        <v>45445</v>
      </c>
      <c r="J594" s="3">
        <v>18.8</v>
      </c>
      <c r="K594" s="10">
        <f>Table2[[#This Row],[Order Quantity]]*Table2[[#This Row],[Price per Unit]]</f>
        <v>13291.6</v>
      </c>
    </row>
    <row r="595" spans="1:11">
      <c r="A595" s="1" t="s">
        <v>614</v>
      </c>
      <c r="B595" s="1" t="s">
        <v>15</v>
      </c>
      <c r="C595" s="1" t="s">
        <v>20</v>
      </c>
      <c r="D595" s="10">
        <v>3866</v>
      </c>
      <c r="E595" s="10">
        <v>3579</v>
      </c>
      <c r="F595" s="4">
        <v>267</v>
      </c>
      <c r="G595" s="2">
        <v>45332</v>
      </c>
      <c r="H595" s="21">
        <f t="shared" si="9"/>
        <v>45323</v>
      </c>
      <c r="I595" s="26">
        <v>45335</v>
      </c>
      <c r="J595" s="3">
        <v>6.37</v>
      </c>
      <c r="K595" s="10">
        <f>Table2[[#This Row],[Order Quantity]]*Table2[[#This Row],[Price per Unit]]</f>
        <v>24626.420000000002</v>
      </c>
    </row>
    <row r="596" spans="1:11">
      <c r="A596" s="1" t="s">
        <v>615</v>
      </c>
      <c r="B596" s="1" t="s">
        <v>27</v>
      </c>
      <c r="C596" s="1" t="s">
        <v>20</v>
      </c>
      <c r="D596" s="10">
        <v>2695</v>
      </c>
      <c r="E596" s="10">
        <v>2667</v>
      </c>
      <c r="F596" s="4">
        <v>143</v>
      </c>
      <c r="G596" s="2">
        <v>45600</v>
      </c>
      <c r="H596" s="21">
        <f t="shared" si="9"/>
        <v>45597</v>
      </c>
      <c r="I596" s="26">
        <v>45600</v>
      </c>
      <c r="J596" s="3">
        <v>17.97</v>
      </c>
      <c r="K596" s="10">
        <f>Table2[[#This Row],[Order Quantity]]*Table2[[#This Row],[Price per Unit]]</f>
        <v>48429.149999999994</v>
      </c>
    </row>
    <row r="597" spans="1:11">
      <c r="A597" s="1" t="s">
        <v>616</v>
      </c>
      <c r="B597" s="1" t="s">
        <v>27</v>
      </c>
      <c r="C597" s="1" t="s">
        <v>16</v>
      </c>
      <c r="D597" s="10">
        <v>2242</v>
      </c>
      <c r="E597" s="10">
        <v>2207</v>
      </c>
      <c r="F597" s="4">
        <v>91</v>
      </c>
      <c r="G597" s="2">
        <v>45617</v>
      </c>
      <c r="H597" s="21">
        <f t="shared" si="9"/>
        <v>45597</v>
      </c>
      <c r="I597" s="26">
        <v>45617</v>
      </c>
      <c r="J597" s="3">
        <v>18.440000000000001</v>
      </c>
      <c r="K597" s="10">
        <f>Table2[[#This Row],[Order Quantity]]*Table2[[#This Row],[Price per Unit]]</f>
        <v>41342.480000000003</v>
      </c>
    </row>
    <row r="598" spans="1:11">
      <c r="A598" s="1" t="s">
        <v>617</v>
      </c>
      <c r="B598" s="1" t="s">
        <v>25</v>
      </c>
      <c r="C598" s="1" t="s">
        <v>13</v>
      </c>
      <c r="D598" s="10">
        <v>4695</v>
      </c>
      <c r="E598" s="10">
        <v>4401</v>
      </c>
      <c r="F598" s="4">
        <v>44</v>
      </c>
      <c r="G598" s="2">
        <v>45374</v>
      </c>
      <c r="H598" s="21">
        <f t="shared" si="9"/>
        <v>45352</v>
      </c>
      <c r="I598" s="26">
        <v>45374</v>
      </c>
      <c r="J598" s="3">
        <v>8.48</v>
      </c>
      <c r="K598" s="10">
        <f>Table2[[#This Row],[Order Quantity]]*Table2[[#This Row],[Price per Unit]]</f>
        <v>39813.599999999999</v>
      </c>
    </row>
    <row r="599" spans="1:11">
      <c r="A599" s="1" t="s">
        <v>618</v>
      </c>
      <c r="B599" s="1" t="s">
        <v>27</v>
      </c>
      <c r="C599" s="1" t="s">
        <v>16</v>
      </c>
      <c r="D599" s="10">
        <v>3494</v>
      </c>
      <c r="E599" s="10">
        <v>3607</v>
      </c>
      <c r="F599" s="4">
        <v>87</v>
      </c>
      <c r="G599" s="2">
        <v>45389</v>
      </c>
      <c r="H599" s="21">
        <f t="shared" si="9"/>
        <v>45383</v>
      </c>
      <c r="I599" s="26">
        <v>45392</v>
      </c>
      <c r="J599" s="3">
        <v>16.75</v>
      </c>
      <c r="K599" s="10">
        <f>Table2[[#This Row],[Order Quantity]]*Table2[[#This Row],[Price per Unit]]</f>
        <v>58524.5</v>
      </c>
    </row>
    <row r="600" spans="1:11">
      <c r="A600" s="1" t="s">
        <v>619</v>
      </c>
      <c r="B600" s="1" t="s">
        <v>18</v>
      </c>
      <c r="C600" s="1" t="s">
        <v>20</v>
      </c>
      <c r="D600" s="10">
        <v>4620</v>
      </c>
      <c r="E600" s="10">
        <v>4192</v>
      </c>
      <c r="F600" s="4">
        <v>226</v>
      </c>
      <c r="G600" s="2">
        <v>45298</v>
      </c>
      <c r="H600" s="21">
        <f t="shared" si="9"/>
        <v>45292</v>
      </c>
      <c r="I600" s="26">
        <v>45298</v>
      </c>
      <c r="J600" s="3">
        <v>12.71</v>
      </c>
      <c r="K600" s="10">
        <f>Table2[[#This Row],[Order Quantity]]*Table2[[#This Row],[Price per Unit]]</f>
        <v>58720.200000000004</v>
      </c>
    </row>
    <row r="601" spans="1:11">
      <c r="A601" s="1" t="s">
        <v>620</v>
      </c>
      <c r="B601" s="1" t="s">
        <v>25</v>
      </c>
      <c r="C601" s="1" t="s">
        <v>16</v>
      </c>
      <c r="D601" s="10">
        <v>582</v>
      </c>
      <c r="E601" s="10">
        <v>607</v>
      </c>
      <c r="F601" s="4">
        <v>23</v>
      </c>
      <c r="G601" s="2">
        <v>45397</v>
      </c>
      <c r="H601" s="21">
        <f t="shared" si="9"/>
        <v>45383</v>
      </c>
      <c r="I601" s="26">
        <v>45404</v>
      </c>
      <c r="J601" s="3">
        <v>21.8</v>
      </c>
      <c r="K601" s="10">
        <f>Table2[[#This Row],[Order Quantity]]*Table2[[#This Row],[Price per Unit]]</f>
        <v>12687.6</v>
      </c>
    </row>
    <row r="602" spans="1:11">
      <c r="A602" s="1" t="s">
        <v>621</v>
      </c>
      <c r="B602" s="1" t="s">
        <v>25</v>
      </c>
      <c r="C602" s="1" t="s">
        <v>45</v>
      </c>
      <c r="D602" s="10">
        <v>675</v>
      </c>
      <c r="E602" s="10">
        <v>674</v>
      </c>
      <c r="F602" s="4">
        <v>30</v>
      </c>
      <c r="G602" s="2">
        <v>45469</v>
      </c>
      <c r="H602" s="21">
        <f t="shared" si="9"/>
        <v>45444</v>
      </c>
      <c r="I602" s="26">
        <v>45469</v>
      </c>
      <c r="J602" s="3">
        <v>19.86</v>
      </c>
      <c r="K602" s="10">
        <f>Table2[[#This Row],[Order Quantity]]*Table2[[#This Row],[Price per Unit]]</f>
        <v>13405.5</v>
      </c>
    </row>
    <row r="603" spans="1:11">
      <c r="A603" s="1" t="s">
        <v>622</v>
      </c>
      <c r="B603" s="1" t="s">
        <v>15</v>
      </c>
      <c r="C603" s="1" t="s">
        <v>13</v>
      </c>
      <c r="D603" s="10">
        <v>2279</v>
      </c>
      <c r="E603" s="10">
        <v>2306</v>
      </c>
      <c r="F603" s="4">
        <v>170</v>
      </c>
      <c r="G603" s="2">
        <v>45562</v>
      </c>
      <c r="H603" s="21">
        <f t="shared" si="9"/>
        <v>45536</v>
      </c>
      <c r="I603" s="26">
        <v>45563</v>
      </c>
      <c r="J603" s="3">
        <v>13.68</v>
      </c>
      <c r="K603" s="10">
        <f>Table2[[#This Row],[Order Quantity]]*Table2[[#This Row],[Price per Unit]]</f>
        <v>31176.720000000001</v>
      </c>
    </row>
    <row r="604" spans="1:11">
      <c r="A604" s="1" t="s">
        <v>623</v>
      </c>
      <c r="B604" s="1" t="s">
        <v>25</v>
      </c>
      <c r="C604" s="1" t="s">
        <v>16</v>
      </c>
      <c r="D604" s="10">
        <v>4176</v>
      </c>
      <c r="E604" s="10">
        <v>4079</v>
      </c>
      <c r="F604" s="4">
        <v>165</v>
      </c>
      <c r="G604" s="2">
        <v>45639</v>
      </c>
      <c r="H604" s="21">
        <f t="shared" si="9"/>
        <v>45627</v>
      </c>
      <c r="I604" s="26">
        <v>45639</v>
      </c>
      <c r="J604" s="3">
        <v>24.93</v>
      </c>
      <c r="K604" s="10">
        <f>Table2[[#This Row],[Order Quantity]]*Table2[[#This Row],[Price per Unit]]</f>
        <v>104107.68</v>
      </c>
    </row>
    <row r="605" spans="1:11">
      <c r="A605" s="1" t="s">
        <v>624</v>
      </c>
      <c r="B605" s="1" t="s">
        <v>12</v>
      </c>
      <c r="C605" s="1" t="s">
        <v>13</v>
      </c>
      <c r="D605" s="10">
        <v>4638</v>
      </c>
      <c r="E605" s="10">
        <v>4617</v>
      </c>
      <c r="F605" s="4">
        <v>124</v>
      </c>
      <c r="G605" s="2">
        <v>45459</v>
      </c>
      <c r="H605" s="21">
        <f t="shared" si="9"/>
        <v>45444</v>
      </c>
      <c r="I605" s="26">
        <v>45464</v>
      </c>
      <c r="J605" s="3">
        <v>19.28</v>
      </c>
      <c r="K605" s="10">
        <f>Table2[[#This Row],[Order Quantity]]*Table2[[#This Row],[Price per Unit]]</f>
        <v>89420.64</v>
      </c>
    </row>
    <row r="606" spans="1:11">
      <c r="A606" s="1" t="s">
        <v>625</v>
      </c>
      <c r="B606" s="1" t="s">
        <v>12</v>
      </c>
      <c r="C606" s="1" t="s">
        <v>13</v>
      </c>
      <c r="D606" s="10">
        <v>868</v>
      </c>
      <c r="E606" s="10">
        <v>887</v>
      </c>
      <c r="F606" s="4">
        <v>11</v>
      </c>
      <c r="G606" s="2">
        <v>45354</v>
      </c>
      <c r="H606" s="21">
        <f t="shared" si="9"/>
        <v>45352</v>
      </c>
      <c r="I606" s="26">
        <v>45354</v>
      </c>
      <c r="J606" s="3">
        <v>23.23</v>
      </c>
      <c r="K606" s="10">
        <f>Table2[[#This Row],[Order Quantity]]*Table2[[#This Row],[Price per Unit]]</f>
        <v>20163.64</v>
      </c>
    </row>
    <row r="607" spans="1:11">
      <c r="A607" s="1" t="s">
        <v>626</v>
      </c>
      <c r="B607" s="1" t="s">
        <v>25</v>
      </c>
      <c r="C607" s="1" t="s">
        <v>20</v>
      </c>
      <c r="D607" s="10">
        <v>4664</v>
      </c>
      <c r="E607" s="10">
        <v>4251</v>
      </c>
      <c r="F607" s="4">
        <v>313</v>
      </c>
      <c r="G607" s="2">
        <v>45609</v>
      </c>
      <c r="H607" s="21">
        <f t="shared" si="9"/>
        <v>45597</v>
      </c>
      <c r="I607" s="26">
        <v>45609</v>
      </c>
      <c r="J607" s="3">
        <v>12.1</v>
      </c>
      <c r="K607" s="10">
        <f>Table2[[#This Row],[Order Quantity]]*Table2[[#This Row],[Price per Unit]]</f>
        <v>56434.400000000001</v>
      </c>
    </row>
    <row r="608" spans="1:11">
      <c r="A608" s="1" t="s">
        <v>627</v>
      </c>
      <c r="B608" s="1" t="s">
        <v>18</v>
      </c>
      <c r="C608" s="1" t="s">
        <v>16</v>
      </c>
      <c r="D608" s="10">
        <v>1684</v>
      </c>
      <c r="E608" s="10">
        <v>1685</v>
      </c>
      <c r="F608" s="4">
        <v>26</v>
      </c>
      <c r="G608" s="2">
        <v>45429</v>
      </c>
      <c r="H608" s="21">
        <f t="shared" si="9"/>
        <v>45413</v>
      </c>
      <c r="I608" s="26">
        <v>45429</v>
      </c>
      <c r="J608" s="3">
        <v>24.03</v>
      </c>
      <c r="K608" s="10">
        <f>Table2[[#This Row],[Order Quantity]]*Table2[[#This Row],[Price per Unit]]</f>
        <v>40466.520000000004</v>
      </c>
    </row>
    <row r="609" spans="1:11">
      <c r="A609" s="1" t="s">
        <v>628</v>
      </c>
      <c r="B609" s="1" t="s">
        <v>27</v>
      </c>
      <c r="C609" s="1" t="s">
        <v>22</v>
      </c>
      <c r="D609" s="10">
        <v>2073</v>
      </c>
      <c r="E609" s="10">
        <v>1984</v>
      </c>
      <c r="F609" s="4">
        <v>88</v>
      </c>
      <c r="G609" s="2">
        <v>45465</v>
      </c>
      <c r="H609" s="21">
        <f t="shared" si="9"/>
        <v>45444</v>
      </c>
      <c r="I609" s="26">
        <v>45465</v>
      </c>
      <c r="J609" s="3">
        <v>10.67</v>
      </c>
      <c r="K609" s="10">
        <f>Table2[[#This Row],[Order Quantity]]*Table2[[#This Row],[Price per Unit]]</f>
        <v>22118.91</v>
      </c>
    </row>
    <row r="610" spans="1:11">
      <c r="A610" s="1" t="s">
        <v>629</v>
      </c>
      <c r="B610" s="1" t="s">
        <v>25</v>
      </c>
      <c r="C610" s="1" t="s">
        <v>22</v>
      </c>
      <c r="D610" s="10">
        <v>2493</v>
      </c>
      <c r="E610" s="10">
        <v>2435</v>
      </c>
      <c r="F610" s="4">
        <v>67</v>
      </c>
      <c r="G610" s="2">
        <v>45555</v>
      </c>
      <c r="H610" s="21">
        <f t="shared" si="9"/>
        <v>45536</v>
      </c>
      <c r="I610" s="26">
        <v>45555</v>
      </c>
      <c r="J610" s="3">
        <v>24.75</v>
      </c>
      <c r="K610" s="10">
        <f>Table2[[#This Row],[Order Quantity]]*Table2[[#This Row],[Price per Unit]]</f>
        <v>61701.75</v>
      </c>
    </row>
    <row r="611" spans="1:11">
      <c r="A611" s="1" t="s">
        <v>630</v>
      </c>
      <c r="B611" s="1" t="s">
        <v>25</v>
      </c>
      <c r="C611" s="1" t="s">
        <v>20</v>
      </c>
      <c r="D611" s="10">
        <v>993</v>
      </c>
      <c r="E611" s="10">
        <v>948</v>
      </c>
      <c r="F611" s="4">
        <v>70</v>
      </c>
      <c r="G611" s="2">
        <v>45636</v>
      </c>
      <c r="H611" s="21">
        <f t="shared" si="9"/>
        <v>45627</v>
      </c>
      <c r="I611" s="26">
        <v>45641</v>
      </c>
      <c r="J611" s="3">
        <v>16.690000000000001</v>
      </c>
      <c r="K611" s="10">
        <f>Table2[[#This Row],[Order Quantity]]*Table2[[#This Row],[Price per Unit]]</f>
        <v>16573.170000000002</v>
      </c>
    </row>
    <row r="612" spans="1:11">
      <c r="A612" s="1" t="s">
        <v>631</v>
      </c>
      <c r="B612" s="1" t="s">
        <v>25</v>
      </c>
      <c r="C612" s="1" t="s">
        <v>16</v>
      </c>
      <c r="D612" s="10">
        <v>4527</v>
      </c>
      <c r="E612" s="10">
        <v>4324</v>
      </c>
      <c r="F612" s="4">
        <v>314</v>
      </c>
      <c r="G612" s="2">
        <v>45347</v>
      </c>
      <c r="H612" s="21">
        <f t="shared" si="9"/>
        <v>45323</v>
      </c>
      <c r="I612" s="26">
        <v>45347</v>
      </c>
      <c r="J612" s="3">
        <v>18.329999999999998</v>
      </c>
      <c r="K612" s="10">
        <f>Table2[[#This Row],[Order Quantity]]*Table2[[#This Row],[Price per Unit]]</f>
        <v>82979.909999999989</v>
      </c>
    </row>
    <row r="613" spans="1:11">
      <c r="A613" s="1" t="s">
        <v>632</v>
      </c>
      <c r="B613" s="1" t="s">
        <v>15</v>
      </c>
      <c r="C613" s="1" t="s">
        <v>13</v>
      </c>
      <c r="D613" s="10">
        <v>3317</v>
      </c>
      <c r="E613" s="10">
        <v>3298</v>
      </c>
      <c r="F613" s="4">
        <v>90</v>
      </c>
      <c r="G613" s="2">
        <v>45459</v>
      </c>
      <c r="H613" s="21">
        <f t="shared" si="9"/>
        <v>45444</v>
      </c>
      <c r="I613" s="26">
        <v>45460</v>
      </c>
      <c r="J613" s="3">
        <v>19.11</v>
      </c>
      <c r="K613" s="10">
        <f>Table2[[#This Row],[Order Quantity]]*Table2[[#This Row],[Price per Unit]]</f>
        <v>63387.869999999995</v>
      </c>
    </row>
    <row r="614" spans="1:11">
      <c r="A614" s="1" t="s">
        <v>633</v>
      </c>
      <c r="B614" s="1" t="s">
        <v>12</v>
      </c>
      <c r="C614" s="1" t="s">
        <v>16</v>
      </c>
      <c r="D614" s="10">
        <v>4197</v>
      </c>
      <c r="E614" s="10">
        <v>4186</v>
      </c>
      <c r="F614" s="4">
        <v>316</v>
      </c>
      <c r="G614" s="2">
        <v>45645</v>
      </c>
      <c r="H614" s="21">
        <f t="shared" si="9"/>
        <v>45627</v>
      </c>
      <c r="I614" s="26">
        <v>45650</v>
      </c>
      <c r="J614" s="3">
        <v>6.28</v>
      </c>
      <c r="K614" s="10">
        <f>Table2[[#This Row],[Order Quantity]]*Table2[[#This Row],[Price per Unit]]</f>
        <v>26357.16</v>
      </c>
    </row>
    <row r="615" spans="1:11">
      <c r="A615" s="1" t="s">
        <v>634</v>
      </c>
      <c r="B615" s="1" t="s">
        <v>18</v>
      </c>
      <c r="C615" s="1" t="s">
        <v>20</v>
      </c>
      <c r="D615" s="10">
        <v>3059</v>
      </c>
      <c r="E615" s="10">
        <v>2956</v>
      </c>
      <c r="F615" s="4">
        <v>34</v>
      </c>
      <c r="G615" s="2">
        <v>45547</v>
      </c>
      <c r="H615" s="21">
        <f t="shared" si="9"/>
        <v>45536</v>
      </c>
      <c r="I615" s="26">
        <v>45552</v>
      </c>
      <c r="J615" s="3">
        <v>11.02</v>
      </c>
      <c r="K615" s="10">
        <f>Table2[[#This Row],[Order Quantity]]*Table2[[#This Row],[Price per Unit]]</f>
        <v>33710.18</v>
      </c>
    </row>
    <row r="616" spans="1:11">
      <c r="A616" s="1" t="s">
        <v>635</v>
      </c>
      <c r="B616" s="1" t="s">
        <v>27</v>
      </c>
      <c r="C616" s="1" t="s">
        <v>13</v>
      </c>
      <c r="D616" s="10">
        <v>4144</v>
      </c>
      <c r="E616" s="10">
        <v>4021</v>
      </c>
      <c r="F616" s="4">
        <v>48</v>
      </c>
      <c r="G616" s="2">
        <v>45420</v>
      </c>
      <c r="H616" s="21">
        <f t="shared" si="9"/>
        <v>45413</v>
      </c>
      <c r="I616" s="26">
        <v>45425</v>
      </c>
      <c r="J616" s="3">
        <v>9.1999999999999993</v>
      </c>
      <c r="K616" s="10">
        <f>Table2[[#This Row],[Order Quantity]]*Table2[[#This Row],[Price per Unit]]</f>
        <v>38124.799999999996</v>
      </c>
    </row>
    <row r="617" spans="1:11">
      <c r="A617" s="1" t="s">
        <v>636</v>
      </c>
      <c r="B617" s="1" t="s">
        <v>15</v>
      </c>
      <c r="C617" s="1" t="s">
        <v>22</v>
      </c>
      <c r="D617" s="10">
        <v>3574</v>
      </c>
      <c r="E617" s="10">
        <v>3436</v>
      </c>
      <c r="F617" s="4">
        <v>191</v>
      </c>
      <c r="G617" s="2">
        <v>45329</v>
      </c>
      <c r="H617" s="21">
        <f t="shared" si="9"/>
        <v>45323</v>
      </c>
      <c r="I617" s="26">
        <v>45331</v>
      </c>
      <c r="J617" s="3">
        <v>10.199999999999999</v>
      </c>
      <c r="K617" s="10">
        <f>Table2[[#This Row],[Order Quantity]]*Table2[[#This Row],[Price per Unit]]</f>
        <v>36454.799999999996</v>
      </c>
    </row>
    <row r="618" spans="1:11">
      <c r="A618" s="1" t="s">
        <v>637</v>
      </c>
      <c r="B618" s="1" t="s">
        <v>15</v>
      </c>
      <c r="C618" s="1" t="s">
        <v>20</v>
      </c>
      <c r="D618" s="10">
        <v>1424</v>
      </c>
      <c r="E618" s="10">
        <v>1296</v>
      </c>
      <c r="F618" s="4">
        <v>29</v>
      </c>
      <c r="G618" s="2">
        <v>45400</v>
      </c>
      <c r="H618" s="21">
        <f t="shared" si="9"/>
        <v>45383</v>
      </c>
      <c r="I618" s="26">
        <v>45405</v>
      </c>
      <c r="J618" s="3">
        <v>18.28</v>
      </c>
      <c r="K618" s="10">
        <f>Table2[[#This Row],[Order Quantity]]*Table2[[#This Row],[Price per Unit]]</f>
        <v>26030.720000000001</v>
      </c>
    </row>
    <row r="619" spans="1:11">
      <c r="A619" s="1" t="s">
        <v>638</v>
      </c>
      <c r="B619" s="1" t="s">
        <v>18</v>
      </c>
      <c r="C619" s="1" t="s">
        <v>22</v>
      </c>
      <c r="D619" s="10">
        <v>1302</v>
      </c>
      <c r="E619" s="10">
        <v>1329</v>
      </c>
      <c r="F619" s="4">
        <v>14</v>
      </c>
      <c r="G619" s="2">
        <v>45574</v>
      </c>
      <c r="H619" s="21">
        <f t="shared" si="9"/>
        <v>45566</v>
      </c>
      <c r="I619" s="26">
        <v>45581</v>
      </c>
      <c r="J619" s="3">
        <v>23.49</v>
      </c>
      <c r="K619" s="10">
        <f>Table2[[#This Row],[Order Quantity]]*Table2[[#This Row],[Price per Unit]]</f>
        <v>30583.98</v>
      </c>
    </row>
    <row r="620" spans="1:11">
      <c r="A620" s="1" t="s">
        <v>639</v>
      </c>
      <c r="B620" s="1" t="s">
        <v>12</v>
      </c>
      <c r="C620" s="1" t="s">
        <v>45</v>
      </c>
      <c r="D620" s="10">
        <v>4106</v>
      </c>
      <c r="E620" s="10">
        <v>3852</v>
      </c>
      <c r="F620" s="4">
        <v>238</v>
      </c>
      <c r="G620" s="2">
        <v>45635</v>
      </c>
      <c r="H620" s="21">
        <f t="shared" si="9"/>
        <v>45627</v>
      </c>
      <c r="I620" s="26">
        <v>45635</v>
      </c>
      <c r="J620" s="3">
        <v>6.53</v>
      </c>
      <c r="K620" s="10">
        <f>Table2[[#This Row],[Order Quantity]]*Table2[[#This Row],[Price per Unit]]</f>
        <v>26812.18</v>
      </c>
    </row>
    <row r="621" spans="1:11">
      <c r="A621" s="1" t="s">
        <v>640</v>
      </c>
      <c r="B621" s="1" t="s">
        <v>12</v>
      </c>
      <c r="C621" s="1" t="s">
        <v>13</v>
      </c>
      <c r="D621" s="10">
        <v>3091</v>
      </c>
      <c r="E621" s="10">
        <v>3157</v>
      </c>
      <c r="F621" s="4">
        <v>205</v>
      </c>
      <c r="G621" s="2">
        <v>45468</v>
      </c>
      <c r="H621" s="21">
        <f t="shared" si="9"/>
        <v>45444</v>
      </c>
      <c r="I621" s="26">
        <v>45468</v>
      </c>
      <c r="J621" s="3">
        <v>17.64</v>
      </c>
      <c r="K621" s="10">
        <f>Table2[[#This Row],[Order Quantity]]*Table2[[#This Row],[Price per Unit]]</f>
        <v>54525.240000000005</v>
      </c>
    </row>
    <row r="622" spans="1:11">
      <c r="A622" s="1" t="s">
        <v>641</v>
      </c>
      <c r="B622" s="1" t="s">
        <v>15</v>
      </c>
      <c r="C622" s="1" t="s">
        <v>45</v>
      </c>
      <c r="D622" s="10">
        <v>4909</v>
      </c>
      <c r="E622" s="10">
        <v>5111</v>
      </c>
      <c r="F622" s="4">
        <v>364</v>
      </c>
      <c r="G622" s="2">
        <v>45428</v>
      </c>
      <c r="H622" s="21">
        <f t="shared" si="9"/>
        <v>45413</v>
      </c>
      <c r="I622" s="26">
        <v>45431</v>
      </c>
      <c r="J622" s="3">
        <v>7.05</v>
      </c>
      <c r="K622" s="10">
        <f>Table2[[#This Row],[Order Quantity]]*Table2[[#This Row],[Price per Unit]]</f>
        <v>34608.449999999997</v>
      </c>
    </row>
    <row r="623" spans="1:11">
      <c r="A623" s="1" t="s">
        <v>642</v>
      </c>
      <c r="B623" s="1" t="s">
        <v>27</v>
      </c>
      <c r="C623" s="1" t="s">
        <v>13</v>
      </c>
      <c r="D623" s="10">
        <v>2656</v>
      </c>
      <c r="E623" s="10">
        <v>2590</v>
      </c>
      <c r="F623" s="4">
        <v>61</v>
      </c>
      <c r="G623" s="2">
        <v>45378</v>
      </c>
      <c r="H623" s="21">
        <f t="shared" si="9"/>
        <v>45352</v>
      </c>
      <c r="I623" s="26">
        <v>45378</v>
      </c>
      <c r="J623" s="3">
        <v>22.18</v>
      </c>
      <c r="K623" s="10">
        <f>Table2[[#This Row],[Order Quantity]]*Table2[[#This Row],[Price per Unit]]</f>
        <v>58910.080000000002</v>
      </c>
    </row>
    <row r="624" spans="1:11">
      <c r="A624" s="1" t="s">
        <v>643</v>
      </c>
      <c r="B624" s="1" t="s">
        <v>18</v>
      </c>
      <c r="C624" s="1" t="s">
        <v>45</v>
      </c>
      <c r="D624" s="10">
        <v>3442</v>
      </c>
      <c r="E624" s="10">
        <v>3413</v>
      </c>
      <c r="F624" s="4">
        <v>72</v>
      </c>
      <c r="G624" s="2">
        <v>45432</v>
      </c>
      <c r="H624" s="21">
        <f t="shared" si="9"/>
        <v>45413</v>
      </c>
      <c r="I624" s="26">
        <v>45439</v>
      </c>
      <c r="J624" s="3">
        <v>18.47</v>
      </c>
      <c r="K624" s="10">
        <f>Table2[[#This Row],[Order Quantity]]*Table2[[#This Row],[Price per Unit]]</f>
        <v>63573.74</v>
      </c>
    </row>
    <row r="625" spans="1:11">
      <c r="A625" s="1" t="s">
        <v>644</v>
      </c>
      <c r="B625" s="1" t="s">
        <v>15</v>
      </c>
      <c r="C625" s="1" t="s">
        <v>45</v>
      </c>
      <c r="D625" s="10">
        <v>4129</v>
      </c>
      <c r="E625" s="10">
        <v>3954</v>
      </c>
      <c r="F625" s="4">
        <v>174</v>
      </c>
      <c r="G625" s="2">
        <v>45538</v>
      </c>
      <c r="H625" s="21">
        <f t="shared" si="9"/>
        <v>45536</v>
      </c>
      <c r="I625" s="26">
        <v>45545</v>
      </c>
      <c r="J625" s="3">
        <v>13.59</v>
      </c>
      <c r="K625" s="10">
        <f>Table2[[#This Row],[Order Quantity]]*Table2[[#This Row],[Price per Unit]]</f>
        <v>56113.11</v>
      </c>
    </row>
    <row r="626" spans="1:11">
      <c r="A626" s="1" t="s">
        <v>645</v>
      </c>
      <c r="B626" s="1" t="s">
        <v>12</v>
      </c>
      <c r="C626" s="1" t="s">
        <v>22</v>
      </c>
      <c r="D626" s="10">
        <v>1096</v>
      </c>
      <c r="E626" s="10">
        <v>1104</v>
      </c>
      <c r="F626" s="4">
        <v>67</v>
      </c>
      <c r="G626" s="2">
        <v>45441</v>
      </c>
      <c r="H626" s="21">
        <f t="shared" si="9"/>
        <v>45444</v>
      </c>
      <c r="I626" s="26">
        <v>45444</v>
      </c>
      <c r="J626" s="3">
        <v>15.3</v>
      </c>
      <c r="K626" s="10">
        <f>Table2[[#This Row],[Order Quantity]]*Table2[[#This Row],[Price per Unit]]</f>
        <v>16768.8</v>
      </c>
    </row>
    <row r="627" spans="1:11">
      <c r="A627" s="1" t="s">
        <v>646</v>
      </c>
      <c r="B627" s="1" t="s">
        <v>12</v>
      </c>
      <c r="C627" s="1" t="s">
        <v>20</v>
      </c>
      <c r="D627" s="10">
        <v>4884</v>
      </c>
      <c r="E627" s="10">
        <v>4648</v>
      </c>
      <c r="F627" s="4">
        <v>181</v>
      </c>
      <c r="G627" s="2">
        <v>45413</v>
      </c>
      <c r="H627" s="21">
        <f t="shared" si="9"/>
        <v>45413</v>
      </c>
      <c r="I627" s="26">
        <v>45413</v>
      </c>
      <c r="J627" s="3">
        <v>19.649999999999999</v>
      </c>
      <c r="K627" s="10">
        <f>Table2[[#This Row],[Order Quantity]]*Table2[[#This Row],[Price per Unit]]</f>
        <v>95970.599999999991</v>
      </c>
    </row>
    <row r="628" spans="1:11">
      <c r="A628" s="1" t="s">
        <v>647</v>
      </c>
      <c r="B628" s="1" t="s">
        <v>25</v>
      </c>
      <c r="C628" s="1" t="s">
        <v>45</v>
      </c>
      <c r="D628" s="10">
        <v>3567</v>
      </c>
      <c r="E628" s="10">
        <v>3521</v>
      </c>
      <c r="F628" s="4">
        <v>64</v>
      </c>
      <c r="G628" s="2">
        <v>45302</v>
      </c>
      <c r="H628" s="21">
        <f t="shared" si="9"/>
        <v>45292</v>
      </c>
      <c r="I628" s="26">
        <v>45305</v>
      </c>
      <c r="J628" s="3">
        <v>9.24</v>
      </c>
      <c r="K628" s="10">
        <f>Table2[[#This Row],[Order Quantity]]*Table2[[#This Row],[Price per Unit]]</f>
        <v>32959.08</v>
      </c>
    </row>
    <row r="629" spans="1:11">
      <c r="A629" s="1" t="s">
        <v>648</v>
      </c>
      <c r="B629" s="1" t="s">
        <v>12</v>
      </c>
      <c r="C629" s="1" t="s">
        <v>16</v>
      </c>
      <c r="D629" s="10">
        <v>2794</v>
      </c>
      <c r="E629" s="10">
        <v>2616</v>
      </c>
      <c r="F629" s="4">
        <v>75</v>
      </c>
      <c r="G629" s="2">
        <v>45443</v>
      </c>
      <c r="H629" s="21">
        <f t="shared" si="9"/>
        <v>45444</v>
      </c>
      <c r="I629" s="26">
        <v>45450</v>
      </c>
      <c r="J629" s="3">
        <v>11.71</v>
      </c>
      <c r="K629" s="10">
        <f>Table2[[#This Row],[Order Quantity]]*Table2[[#This Row],[Price per Unit]]</f>
        <v>32717.74</v>
      </c>
    </row>
    <row r="630" spans="1:11">
      <c r="A630" s="1" t="s">
        <v>649</v>
      </c>
      <c r="B630" s="1" t="s">
        <v>12</v>
      </c>
      <c r="C630" s="1" t="s">
        <v>45</v>
      </c>
      <c r="D630" s="10">
        <v>2910</v>
      </c>
      <c r="E630" s="10">
        <v>2862</v>
      </c>
      <c r="F630" s="4">
        <v>111</v>
      </c>
      <c r="G630" s="2">
        <v>45310</v>
      </c>
      <c r="H630" s="21">
        <f t="shared" si="9"/>
        <v>45292</v>
      </c>
      <c r="I630" s="26">
        <v>45310</v>
      </c>
      <c r="J630" s="3">
        <v>13.58</v>
      </c>
      <c r="K630" s="10">
        <f>Table2[[#This Row],[Order Quantity]]*Table2[[#This Row],[Price per Unit]]</f>
        <v>39517.800000000003</v>
      </c>
    </row>
    <row r="631" spans="1:11">
      <c r="A631" s="1" t="s">
        <v>650</v>
      </c>
      <c r="B631" s="1" t="s">
        <v>27</v>
      </c>
      <c r="C631" s="1" t="s">
        <v>45</v>
      </c>
      <c r="D631" s="10">
        <v>948</v>
      </c>
      <c r="E631" s="10">
        <v>882</v>
      </c>
      <c r="F631" s="4">
        <v>29</v>
      </c>
      <c r="G631" s="2">
        <v>45384</v>
      </c>
      <c r="H631" s="21">
        <f t="shared" si="9"/>
        <v>45383</v>
      </c>
      <c r="I631" s="26">
        <v>45391</v>
      </c>
      <c r="J631" s="3">
        <v>15.93</v>
      </c>
      <c r="K631" s="10">
        <f>Table2[[#This Row],[Order Quantity]]*Table2[[#This Row],[Price per Unit]]</f>
        <v>15101.64</v>
      </c>
    </row>
    <row r="632" spans="1:11">
      <c r="A632" s="1" t="s">
        <v>651</v>
      </c>
      <c r="B632" s="1" t="s">
        <v>18</v>
      </c>
      <c r="C632" s="1" t="s">
        <v>16</v>
      </c>
      <c r="D632" s="10">
        <v>738</v>
      </c>
      <c r="E632" s="10">
        <v>676</v>
      </c>
      <c r="F632" s="4">
        <v>35</v>
      </c>
      <c r="G632" s="2">
        <v>45586</v>
      </c>
      <c r="H632" s="21">
        <f t="shared" si="9"/>
        <v>45566</v>
      </c>
      <c r="I632" s="26">
        <v>45593</v>
      </c>
      <c r="J632" s="3">
        <v>7.34</v>
      </c>
      <c r="K632" s="10">
        <f>Table2[[#This Row],[Order Quantity]]*Table2[[#This Row],[Price per Unit]]</f>
        <v>5416.92</v>
      </c>
    </row>
    <row r="633" spans="1:11">
      <c r="A633" s="1" t="s">
        <v>652</v>
      </c>
      <c r="B633" s="1" t="s">
        <v>27</v>
      </c>
      <c r="C633" s="1" t="s">
        <v>16</v>
      </c>
      <c r="D633" s="10">
        <v>4666</v>
      </c>
      <c r="E633" s="10">
        <v>4279</v>
      </c>
      <c r="F633" s="4">
        <v>271</v>
      </c>
      <c r="G633" s="2">
        <v>45605</v>
      </c>
      <c r="H633" s="21">
        <f t="shared" si="9"/>
        <v>45597</v>
      </c>
      <c r="I633" s="26">
        <v>45605</v>
      </c>
      <c r="J633" s="3">
        <v>18.579999999999998</v>
      </c>
      <c r="K633" s="10">
        <f>Table2[[#This Row],[Order Quantity]]*Table2[[#This Row],[Price per Unit]]</f>
        <v>86694.28</v>
      </c>
    </row>
    <row r="634" spans="1:11">
      <c r="A634" s="1" t="s">
        <v>653</v>
      </c>
      <c r="B634" s="1" t="s">
        <v>18</v>
      </c>
      <c r="C634" s="1" t="s">
        <v>13</v>
      </c>
      <c r="D634" s="10">
        <v>1320</v>
      </c>
      <c r="E634" s="10">
        <v>1341</v>
      </c>
      <c r="F634" s="4">
        <v>70</v>
      </c>
      <c r="G634" s="2">
        <v>45542</v>
      </c>
      <c r="H634" s="21">
        <f t="shared" si="9"/>
        <v>45536</v>
      </c>
      <c r="I634" s="26">
        <v>45544</v>
      </c>
      <c r="J634" s="3">
        <v>22.15</v>
      </c>
      <c r="K634" s="10">
        <f>Table2[[#This Row],[Order Quantity]]*Table2[[#This Row],[Price per Unit]]</f>
        <v>29237.999999999996</v>
      </c>
    </row>
    <row r="635" spans="1:11">
      <c r="A635" s="1" t="s">
        <v>654</v>
      </c>
      <c r="B635" s="1" t="s">
        <v>27</v>
      </c>
      <c r="C635" s="1" t="s">
        <v>22</v>
      </c>
      <c r="D635" s="10">
        <v>4200</v>
      </c>
      <c r="E635" s="10">
        <v>3919</v>
      </c>
      <c r="F635" s="4">
        <v>235</v>
      </c>
      <c r="G635" s="2">
        <v>45601</v>
      </c>
      <c r="H635" s="21">
        <f t="shared" si="9"/>
        <v>45597</v>
      </c>
      <c r="I635" s="26">
        <v>45602</v>
      </c>
      <c r="J635" s="3">
        <v>22.63</v>
      </c>
      <c r="K635" s="10">
        <f>Table2[[#This Row],[Order Quantity]]*Table2[[#This Row],[Price per Unit]]</f>
        <v>95046</v>
      </c>
    </row>
    <row r="636" spans="1:11">
      <c r="A636" s="1" t="s">
        <v>655</v>
      </c>
      <c r="B636" s="1" t="s">
        <v>18</v>
      </c>
      <c r="C636" s="1" t="s">
        <v>13</v>
      </c>
      <c r="D636" s="10">
        <v>1596</v>
      </c>
      <c r="E636" s="10">
        <v>1564</v>
      </c>
      <c r="F636" s="4">
        <v>107</v>
      </c>
      <c r="G636" s="2">
        <v>45627</v>
      </c>
      <c r="H636" s="21">
        <f t="shared" si="9"/>
        <v>45627</v>
      </c>
      <c r="I636" s="26">
        <v>45627</v>
      </c>
      <c r="J636" s="3">
        <v>21.43</v>
      </c>
      <c r="K636" s="10">
        <f>Table2[[#This Row],[Order Quantity]]*Table2[[#This Row],[Price per Unit]]</f>
        <v>34202.28</v>
      </c>
    </row>
    <row r="637" spans="1:11">
      <c r="A637" s="1" t="s">
        <v>656</v>
      </c>
      <c r="B637" s="1" t="s">
        <v>12</v>
      </c>
      <c r="C637" s="1" t="s">
        <v>13</v>
      </c>
      <c r="D637" s="10">
        <v>3046</v>
      </c>
      <c r="E637" s="10">
        <v>2799</v>
      </c>
      <c r="F637" s="4">
        <v>83</v>
      </c>
      <c r="G637" s="2">
        <v>45630</v>
      </c>
      <c r="H637" s="21">
        <f t="shared" si="9"/>
        <v>45627</v>
      </c>
      <c r="I637" s="26">
        <v>45630</v>
      </c>
      <c r="J637" s="3">
        <v>15.63</v>
      </c>
      <c r="K637" s="10">
        <f>Table2[[#This Row],[Order Quantity]]*Table2[[#This Row],[Price per Unit]]</f>
        <v>47608.98</v>
      </c>
    </row>
    <row r="638" spans="1:11">
      <c r="A638" s="1" t="s">
        <v>657</v>
      </c>
      <c r="B638" s="1" t="s">
        <v>27</v>
      </c>
      <c r="C638" s="1" t="s">
        <v>13</v>
      </c>
      <c r="D638" s="10">
        <v>4508</v>
      </c>
      <c r="E638" s="10">
        <v>4653</v>
      </c>
      <c r="F638" s="4">
        <v>198</v>
      </c>
      <c r="G638" s="2">
        <v>45321</v>
      </c>
      <c r="H638" s="21">
        <f t="shared" si="9"/>
        <v>45292</v>
      </c>
      <c r="I638" s="26">
        <v>45321</v>
      </c>
      <c r="J638" s="3">
        <v>6.51</v>
      </c>
      <c r="K638" s="10">
        <f>Table2[[#This Row],[Order Quantity]]*Table2[[#This Row],[Price per Unit]]</f>
        <v>29347.079999999998</v>
      </c>
    </row>
    <row r="639" spans="1:11">
      <c r="A639" s="1" t="s">
        <v>658</v>
      </c>
      <c r="B639" s="1" t="s">
        <v>18</v>
      </c>
      <c r="C639" s="1" t="s">
        <v>16</v>
      </c>
      <c r="D639" s="10">
        <v>1755</v>
      </c>
      <c r="E639" s="10">
        <v>1583</v>
      </c>
      <c r="F639" s="4">
        <v>46</v>
      </c>
      <c r="G639" s="2">
        <v>45427</v>
      </c>
      <c r="H639" s="21">
        <f t="shared" si="9"/>
        <v>45413</v>
      </c>
      <c r="I639" s="26">
        <v>45430</v>
      </c>
      <c r="J639" s="3">
        <v>9.16</v>
      </c>
      <c r="K639" s="10">
        <f>Table2[[#This Row],[Order Quantity]]*Table2[[#This Row],[Price per Unit]]</f>
        <v>16075.800000000001</v>
      </c>
    </row>
    <row r="640" spans="1:11">
      <c r="A640" s="1" t="s">
        <v>659</v>
      </c>
      <c r="B640" s="1" t="s">
        <v>15</v>
      </c>
      <c r="C640" s="1" t="s">
        <v>45</v>
      </c>
      <c r="D640" s="10">
        <v>3065</v>
      </c>
      <c r="E640" s="10">
        <v>2937</v>
      </c>
      <c r="F640" s="4">
        <v>140</v>
      </c>
      <c r="G640" s="2">
        <v>45511</v>
      </c>
      <c r="H640" s="21">
        <f t="shared" si="9"/>
        <v>45505</v>
      </c>
      <c r="I640" s="26">
        <v>45512</v>
      </c>
      <c r="J640" s="3">
        <v>24.36</v>
      </c>
      <c r="K640" s="10">
        <f>Table2[[#This Row],[Order Quantity]]*Table2[[#This Row],[Price per Unit]]</f>
        <v>74663.399999999994</v>
      </c>
    </row>
    <row r="641" spans="1:11">
      <c r="A641" s="1" t="s">
        <v>660</v>
      </c>
      <c r="B641" s="1" t="s">
        <v>12</v>
      </c>
      <c r="C641" s="1" t="s">
        <v>45</v>
      </c>
      <c r="D641" s="10">
        <v>3372</v>
      </c>
      <c r="E641" s="10">
        <v>3531</v>
      </c>
      <c r="F641" s="4">
        <v>146</v>
      </c>
      <c r="G641" s="2">
        <v>45626</v>
      </c>
      <c r="H641" s="21">
        <f t="shared" si="9"/>
        <v>45627</v>
      </c>
      <c r="I641" s="26">
        <v>45627</v>
      </c>
      <c r="J641" s="3">
        <v>15.27</v>
      </c>
      <c r="K641" s="10">
        <f>Table2[[#This Row],[Order Quantity]]*Table2[[#This Row],[Price per Unit]]</f>
        <v>51490.439999999995</v>
      </c>
    </row>
    <row r="642" spans="1:11">
      <c r="A642" s="1" t="s">
        <v>661</v>
      </c>
      <c r="B642" s="1" t="s">
        <v>15</v>
      </c>
      <c r="C642" s="1" t="s">
        <v>45</v>
      </c>
      <c r="D642" s="10">
        <v>4816</v>
      </c>
      <c r="E642" s="10">
        <v>4738</v>
      </c>
      <c r="F642" s="4">
        <v>153</v>
      </c>
      <c r="G642" s="2">
        <v>45473</v>
      </c>
      <c r="H642" s="21">
        <f t="shared" ref="H642:H705" si="10">DATE(YEAR(I642), MONTH(I642), 1)</f>
        <v>45474</v>
      </c>
      <c r="I642" s="26">
        <v>45476</v>
      </c>
      <c r="J642" s="3">
        <v>9.4</v>
      </c>
      <c r="K642" s="10">
        <f>Table2[[#This Row],[Order Quantity]]*Table2[[#This Row],[Price per Unit]]</f>
        <v>45270.400000000001</v>
      </c>
    </row>
    <row r="643" spans="1:11">
      <c r="A643" s="1" t="s">
        <v>662</v>
      </c>
      <c r="B643" s="1" t="s">
        <v>27</v>
      </c>
      <c r="C643" s="1" t="s">
        <v>22</v>
      </c>
      <c r="D643" s="10">
        <v>4635</v>
      </c>
      <c r="E643" s="10">
        <v>4219</v>
      </c>
      <c r="F643" s="4">
        <v>151</v>
      </c>
      <c r="G643" s="2">
        <v>45622</v>
      </c>
      <c r="H643" s="21">
        <f t="shared" si="10"/>
        <v>45597</v>
      </c>
      <c r="I643" s="26">
        <v>45622</v>
      </c>
      <c r="J643" s="3">
        <v>14.28</v>
      </c>
      <c r="K643" s="10">
        <f>Table2[[#This Row],[Order Quantity]]*Table2[[#This Row],[Price per Unit]]</f>
        <v>66187.8</v>
      </c>
    </row>
    <row r="644" spans="1:11">
      <c r="A644" s="1" t="s">
        <v>663</v>
      </c>
      <c r="B644" s="1" t="s">
        <v>25</v>
      </c>
      <c r="C644" s="1" t="s">
        <v>13</v>
      </c>
      <c r="D644" s="10">
        <v>3166</v>
      </c>
      <c r="E644" s="10">
        <v>3290</v>
      </c>
      <c r="F644" s="4">
        <v>120</v>
      </c>
      <c r="G644" s="2">
        <v>45547</v>
      </c>
      <c r="H644" s="21">
        <f t="shared" si="10"/>
        <v>45536</v>
      </c>
      <c r="I644" s="26">
        <v>45547</v>
      </c>
      <c r="J644" s="3">
        <v>21.63</v>
      </c>
      <c r="K644" s="10">
        <f>Table2[[#This Row],[Order Quantity]]*Table2[[#This Row],[Price per Unit]]</f>
        <v>68480.58</v>
      </c>
    </row>
    <row r="645" spans="1:11">
      <c r="A645" s="1" t="s">
        <v>664</v>
      </c>
      <c r="B645" s="1" t="s">
        <v>12</v>
      </c>
      <c r="C645" s="1" t="s">
        <v>13</v>
      </c>
      <c r="D645" s="10">
        <v>1170</v>
      </c>
      <c r="E645" s="10">
        <v>1194</v>
      </c>
      <c r="F645" s="4">
        <v>76</v>
      </c>
      <c r="G645" s="2">
        <v>45427</v>
      </c>
      <c r="H645" s="21">
        <f t="shared" si="10"/>
        <v>45413</v>
      </c>
      <c r="I645" s="26">
        <v>45427</v>
      </c>
      <c r="J645" s="3">
        <v>15.97</v>
      </c>
      <c r="K645" s="10">
        <f>Table2[[#This Row],[Order Quantity]]*Table2[[#This Row],[Price per Unit]]</f>
        <v>18684.900000000001</v>
      </c>
    </row>
    <row r="646" spans="1:11">
      <c r="A646" s="1" t="s">
        <v>665</v>
      </c>
      <c r="B646" s="1" t="s">
        <v>25</v>
      </c>
      <c r="C646" s="1" t="s">
        <v>16</v>
      </c>
      <c r="D646" s="10">
        <v>749</v>
      </c>
      <c r="E646" s="10">
        <v>735</v>
      </c>
      <c r="F646" s="4">
        <v>34</v>
      </c>
      <c r="G646" s="2">
        <v>45605</v>
      </c>
      <c r="H646" s="21">
        <f t="shared" si="10"/>
        <v>45597</v>
      </c>
      <c r="I646" s="26">
        <v>45606</v>
      </c>
      <c r="J646" s="3">
        <v>12</v>
      </c>
      <c r="K646" s="10">
        <f>Table2[[#This Row],[Order Quantity]]*Table2[[#This Row],[Price per Unit]]</f>
        <v>8988</v>
      </c>
    </row>
    <row r="647" spans="1:11">
      <c r="A647" s="1" t="s">
        <v>666</v>
      </c>
      <c r="B647" s="1" t="s">
        <v>25</v>
      </c>
      <c r="C647" s="1" t="s">
        <v>13</v>
      </c>
      <c r="D647" s="10">
        <v>4292</v>
      </c>
      <c r="E647" s="10">
        <v>3872</v>
      </c>
      <c r="F647" s="4">
        <v>94</v>
      </c>
      <c r="G647" s="2">
        <v>45350</v>
      </c>
      <c r="H647" s="21">
        <f t="shared" si="10"/>
        <v>45352</v>
      </c>
      <c r="I647" s="26">
        <v>45355</v>
      </c>
      <c r="J647" s="3">
        <v>19.260000000000002</v>
      </c>
      <c r="K647" s="10">
        <f>Table2[[#This Row],[Order Quantity]]*Table2[[#This Row],[Price per Unit]]</f>
        <v>82663.920000000013</v>
      </c>
    </row>
    <row r="648" spans="1:11">
      <c r="A648" s="1" t="s">
        <v>667</v>
      </c>
      <c r="B648" s="1" t="s">
        <v>25</v>
      </c>
      <c r="C648" s="1" t="s">
        <v>16</v>
      </c>
      <c r="D648" s="10">
        <v>3663</v>
      </c>
      <c r="E648" s="10">
        <v>3403</v>
      </c>
      <c r="F648" s="4">
        <v>246</v>
      </c>
      <c r="G648" s="2">
        <v>45506</v>
      </c>
      <c r="H648" s="21">
        <f t="shared" si="10"/>
        <v>45505</v>
      </c>
      <c r="I648" s="26">
        <v>45511</v>
      </c>
      <c r="J648" s="3">
        <v>20</v>
      </c>
      <c r="K648" s="10">
        <f>Table2[[#This Row],[Order Quantity]]*Table2[[#This Row],[Price per Unit]]</f>
        <v>73260</v>
      </c>
    </row>
    <row r="649" spans="1:11">
      <c r="A649" s="1" t="s">
        <v>668</v>
      </c>
      <c r="B649" s="1" t="s">
        <v>12</v>
      </c>
      <c r="C649" s="1" t="s">
        <v>16</v>
      </c>
      <c r="D649" s="10">
        <v>3446</v>
      </c>
      <c r="E649" s="10">
        <v>3325</v>
      </c>
      <c r="F649" s="4">
        <v>213</v>
      </c>
      <c r="G649" s="2">
        <v>45536</v>
      </c>
      <c r="H649" s="21">
        <f t="shared" si="10"/>
        <v>45536</v>
      </c>
      <c r="I649" s="26">
        <v>45539</v>
      </c>
      <c r="J649" s="3">
        <v>22.05</v>
      </c>
      <c r="K649" s="10">
        <f>Table2[[#This Row],[Order Quantity]]*Table2[[#This Row],[Price per Unit]]</f>
        <v>75984.3</v>
      </c>
    </row>
    <row r="650" spans="1:11">
      <c r="A650" s="1" t="s">
        <v>669</v>
      </c>
      <c r="B650" s="1" t="s">
        <v>12</v>
      </c>
      <c r="C650" s="1" t="s">
        <v>45</v>
      </c>
      <c r="D650" s="10">
        <v>4145</v>
      </c>
      <c r="E650" s="10">
        <v>3827</v>
      </c>
      <c r="F650" s="4">
        <v>165</v>
      </c>
      <c r="G650" s="2">
        <v>45345</v>
      </c>
      <c r="H650" s="21">
        <f t="shared" si="10"/>
        <v>45352</v>
      </c>
      <c r="I650" s="26">
        <v>45352</v>
      </c>
      <c r="J650" s="3">
        <v>19.329999999999998</v>
      </c>
      <c r="K650" s="10">
        <f>Table2[[#This Row],[Order Quantity]]*Table2[[#This Row],[Price per Unit]]</f>
        <v>80122.849999999991</v>
      </c>
    </row>
    <row r="651" spans="1:11">
      <c r="A651" s="1" t="s">
        <v>670</v>
      </c>
      <c r="B651" s="1" t="s">
        <v>18</v>
      </c>
      <c r="C651" s="1" t="s">
        <v>20</v>
      </c>
      <c r="D651" s="10">
        <v>4091</v>
      </c>
      <c r="E651" s="10">
        <v>4043</v>
      </c>
      <c r="F651" s="4">
        <v>92</v>
      </c>
      <c r="G651" s="2">
        <v>45385</v>
      </c>
      <c r="H651" s="21">
        <f t="shared" si="10"/>
        <v>45383</v>
      </c>
      <c r="I651" s="26">
        <v>45388</v>
      </c>
      <c r="J651" s="3">
        <v>17</v>
      </c>
      <c r="K651" s="10">
        <f>Table2[[#This Row],[Order Quantity]]*Table2[[#This Row],[Price per Unit]]</f>
        <v>69547</v>
      </c>
    </row>
    <row r="652" spans="1:11">
      <c r="A652" s="1" t="s">
        <v>671</v>
      </c>
      <c r="B652" s="1" t="s">
        <v>25</v>
      </c>
      <c r="C652" s="1" t="s">
        <v>22</v>
      </c>
      <c r="D652" s="10">
        <v>1149</v>
      </c>
      <c r="E652" s="10">
        <v>1121</v>
      </c>
      <c r="F652" s="4">
        <v>25</v>
      </c>
      <c r="G652" s="2">
        <v>45293</v>
      </c>
      <c r="H652" s="21">
        <f t="shared" si="10"/>
        <v>45292</v>
      </c>
      <c r="I652" s="26">
        <v>45293</v>
      </c>
      <c r="J652" s="3">
        <v>6.54</v>
      </c>
      <c r="K652" s="10">
        <f>Table2[[#This Row],[Order Quantity]]*Table2[[#This Row],[Price per Unit]]</f>
        <v>7514.46</v>
      </c>
    </row>
    <row r="653" spans="1:11">
      <c r="A653" s="1" t="s">
        <v>672</v>
      </c>
      <c r="B653" s="1" t="s">
        <v>25</v>
      </c>
      <c r="C653" s="1" t="s">
        <v>22</v>
      </c>
      <c r="D653" s="10">
        <v>870</v>
      </c>
      <c r="E653" s="10">
        <v>890</v>
      </c>
      <c r="F653" s="4">
        <v>49</v>
      </c>
      <c r="G653" s="2">
        <v>45353</v>
      </c>
      <c r="H653" s="21">
        <f t="shared" si="10"/>
        <v>45352</v>
      </c>
      <c r="I653" s="26">
        <v>45356</v>
      </c>
      <c r="J653" s="3">
        <v>20.92</v>
      </c>
      <c r="K653" s="10">
        <f>Table2[[#This Row],[Order Quantity]]*Table2[[#This Row],[Price per Unit]]</f>
        <v>18200.400000000001</v>
      </c>
    </row>
    <row r="654" spans="1:11">
      <c r="A654" s="1" t="s">
        <v>673</v>
      </c>
      <c r="B654" s="1" t="s">
        <v>15</v>
      </c>
      <c r="C654" s="1" t="s">
        <v>45</v>
      </c>
      <c r="D654" s="10">
        <v>3052</v>
      </c>
      <c r="E654" s="10">
        <v>2867</v>
      </c>
      <c r="F654" s="4">
        <v>217</v>
      </c>
      <c r="G654" s="2">
        <v>45420</v>
      </c>
      <c r="H654" s="21">
        <f t="shared" si="10"/>
        <v>45413</v>
      </c>
      <c r="I654" s="26">
        <v>45423</v>
      </c>
      <c r="J654" s="3">
        <v>17.73</v>
      </c>
      <c r="K654" s="10">
        <f>Table2[[#This Row],[Order Quantity]]*Table2[[#This Row],[Price per Unit]]</f>
        <v>54111.96</v>
      </c>
    </row>
    <row r="655" spans="1:11">
      <c r="A655" s="1" t="s">
        <v>674</v>
      </c>
      <c r="B655" s="1" t="s">
        <v>25</v>
      </c>
      <c r="C655" s="1" t="s">
        <v>20</v>
      </c>
      <c r="D655" s="10">
        <v>4751</v>
      </c>
      <c r="E655" s="10">
        <v>4605</v>
      </c>
      <c r="F655" s="4">
        <v>135</v>
      </c>
      <c r="G655" s="2">
        <v>45569</v>
      </c>
      <c r="H655" s="21">
        <f t="shared" si="10"/>
        <v>45566</v>
      </c>
      <c r="I655" s="26">
        <v>45569</v>
      </c>
      <c r="J655" s="3">
        <v>18.09</v>
      </c>
      <c r="K655" s="10">
        <f>Table2[[#This Row],[Order Quantity]]*Table2[[#This Row],[Price per Unit]]</f>
        <v>85945.59</v>
      </c>
    </row>
    <row r="656" spans="1:11">
      <c r="A656" s="1" t="s">
        <v>675</v>
      </c>
      <c r="B656" s="1" t="s">
        <v>27</v>
      </c>
      <c r="C656" s="1" t="s">
        <v>13</v>
      </c>
      <c r="D656" s="10">
        <v>3546</v>
      </c>
      <c r="E656" s="10">
        <v>3604</v>
      </c>
      <c r="F656" s="4">
        <v>243</v>
      </c>
      <c r="G656" s="2">
        <v>45617</v>
      </c>
      <c r="H656" s="21">
        <f t="shared" si="10"/>
        <v>45597</v>
      </c>
      <c r="I656" s="26">
        <v>45624</v>
      </c>
      <c r="J656" s="3">
        <v>14.23</v>
      </c>
      <c r="K656" s="10">
        <f>Table2[[#This Row],[Order Quantity]]*Table2[[#This Row],[Price per Unit]]</f>
        <v>50459.58</v>
      </c>
    </row>
    <row r="657" spans="1:11">
      <c r="A657" s="1" t="s">
        <v>676</v>
      </c>
      <c r="B657" s="1" t="s">
        <v>15</v>
      </c>
      <c r="C657" s="1" t="s">
        <v>16</v>
      </c>
      <c r="D657" s="10">
        <v>1863</v>
      </c>
      <c r="E657" s="10">
        <v>1892</v>
      </c>
      <c r="F657" s="4">
        <v>117</v>
      </c>
      <c r="G657" s="2">
        <v>45548</v>
      </c>
      <c r="H657" s="21">
        <f t="shared" si="10"/>
        <v>45536</v>
      </c>
      <c r="I657" s="26">
        <v>45550</v>
      </c>
      <c r="J657" s="3">
        <v>8.01</v>
      </c>
      <c r="K657" s="10">
        <f>Table2[[#This Row],[Order Quantity]]*Table2[[#This Row],[Price per Unit]]</f>
        <v>14922.63</v>
      </c>
    </row>
    <row r="658" spans="1:11">
      <c r="A658" s="1" t="s">
        <v>677</v>
      </c>
      <c r="B658" s="1" t="s">
        <v>12</v>
      </c>
      <c r="C658" s="1" t="s">
        <v>13</v>
      </c>
      <c r="D658" s="10">
        <v>3081</v>
      </c>
      <c r="E658" s="10">
        <v>2788</v>
      </c>
      <c r="F658" s="4">
        <v>199</v>
      </c>
      <c r="G658" s="2">
        <v>45296</v>
      </c>
      <c r="H658" s="21">
        <f t="shared" si="10"/>
        <v>45292</v>
      </c>
      <c r="I658" s="26">
        <v>45297</v>
      </c>
      <c r="J658" s="3">
        <v>9.8699999999999992</v>
      </c>
      <c r="K658" s="10">
        <f>Table2[[#This Row],[Order Quantity]]*Table2[[#This Row],[Price per Unit]]</f>
        <v>30409.469999999998</v>
      </c>
    </row>
    <row r="659" spans="1:11">
      <c r="A659" s="1" t="s">
        <v>678</v>
      </c>
      <c r="B659" s="1" t="s">
        <v>12</v>
      </c>
      <c r="C659" s="1" t="s">
        <v>20</v>
      </c>
      <c r="D659" s="10">
        <v>3691</v>
      </c>
      <c r="E659" s="10">
        <v>3796</v>
      </c>
      <c r="F659" s="4">
        <v>246</v>
      </c>
      <c r="G659" s="2">
        <v>45478</v>
      </c>
      <c r="H659" s="21">
        <f t="shared" si="10"/>
        <v>45474</v>
      </c>
      <c r="I659" s="26">
        <v>45485</v>
      </c>
      <c r="J659" s="3">
        <v>13.58</v>
      </c>
      <c r="K659" s="10">
        <f>Table2[[#This Row],[Order Quantity]]*Table2[[#This Row],[Price per Unit]]</f>
        <v>50123.78</v>
      </c>
    </row>
    <row r="660" spans="1:11">
      <c r="A660" s="1" t="s">
        <v>679</v>
      </c>
      <c r="B660" s="1" t="s">
        <v>18</v>
      </c>
      <c r="C660" s="1" t="s">
        <v>20</v>
      </c>
      <c r="D660" s="10">
        <v>4699</v>
      </c>
      <c r="E660" s="10">
        <v>4699</v>
      </c>
      <c r="F660" s="4">
        <v>78</v>
      </c>
      <c r="G660" s="2">
        <v>45473</v>
      </c>
      <c r="H660" s="21">
        <f t="shared" si="10"/>
        <v>45474</v>
      </c>
      <c r="I660" s="26">
        <v>45475</v>
      </c>
      <c r="J660" s="3">
        <v>19.96</v>
      </c>
      <c r="K660" s="10">
        <f>Table2[[#This Row],[Order Quantity]]*Table2[[#This Row],[Price per Unit]]</f>
        <v>93792.040000000008</v>
      </c>
    </row>
    <row r="661" spans="1:11">
      <c r="A661" s="1" t="s">
        <v>680</v>
      </c>
      <c r="B661" s="1" t="s">
        <v>18</v>
      </c>
      <c r="C661" s="1" t="s">
        <v>13</v>
      </c>
      <c r="D661" s="10">
        <v>4339</v>
      </c>
      <c r="E661" s="10">
        <v>4534</v>
      </c>
      <c r="F661" s="4">
        <v>307</v>
      </c>
      <c r="G661" s="2">
        <v>45578</v>
      </c>
      <c r="H661" s="21">
        <f t="shared" si="10"/>
        <v>45566</v>
      </c>
      <c r="I661" s="26">
        <v>45578</v>
      </c>
      <c r="J661" s="3">
        <v>23.06</v>
      </c>
      <c r="K661" s="10">
        <f>Table2[[#This Row],[Order Quantity]]*Table2[[#This Row],[Price per Unit]]</f>
        <v>100057.34</v>
      </c>
    </row>
    <row r="662" spans="1:11">
      <c r="A662" s="1" t="s">
        <v>681</v>
      </c>
      <c r="B662" s="1" t="s">
        <v>25</v>
      </c>
      <c r="C662" s="1" t="s">
        <v>20</v>
      </c>
      <c r="D662" s="10">
        <v>3005</v>
      </c>
      <c r="E662" s="10">
        <v>2707</v>
      </c>
      <c r="F662" s="4">
        <v>115</v>
      </c>
      <c r="G662" s="2">
        <v>45544</v>
      </c>
      <c r="H662" s="21">
        <f t="shared" si="10"/>
        <v>45536</v>
      </c>
      <c r="I662" s="26">
        <v>45546</v>
      </c>
      <c r="J662" s="3">
        <v>16.420000000000002</v>
      </c>
      <c r="K662" s="10">
        <f>Table2[[#This Row],[Order Quantity]]*Table2[[#This Row],[Price per Unit]]</f>
        <v>49342.100000000006</v>
      </c>
    </row>
    <row r="663" spans="1:11">
      <c r="A663" s="1" t="s">
        <v>682</v>
      </c>
      <c r="B663" s="1" t="s">
        <v>15</v>
      </c>
      <c r="C663" s="1" t="s">
        <v>16</v>
      </c>
      <c r="D663" s="10">
        <v>3350</v>
      </c>
      <c r="E663" s="10">
        <v>3026</v>
      </c>
      <c r="F663" s="4">
        <v>106</v>
      </c>
      <c r="G663" s="2">
        <v>45595</v>
      </c>
      <c r="H663" s="21">
        <f t="shared" si="10"/>
        <v>45597</v>
      </c>
      <c r="I663" s="26">
        <v>45597</v>
      </c>
      <c r="J663" s="3">
        <v>20.67</v>
      </c>
      <c r="K663" s="10">
        <f>Table2[[#This Row],[Order Quantity]]*Table2[[#This Row],[Price per Unit]]</f>
        <v>69244.5</v>
      </c>
    </row>
    <row r="664" spans="1:11">
      <c r="A664" s="1" t="s">
        <v>683</v>
      </c>
      <c r="B664" s="1" t="s">
        <v>15</v>
      </c>
      <c r="C664" s="1" t="s">
        <v>13</v>
      </c>
      <c r="D664" s="10">
        <v>3350</v>
      </c>
      <c r="E664" s="10">
        <v>3022</v>
      </c>
      <c r="F664" s="4">
        <v>33</v>
      </c>
      <c r="G664" s="2">
        <v>45647</v>
      </c>
      <c r="H664" s="21">
        <f t="shared" si="10"/>
        <v>45627</v>
      </c>
      <c r="I664" s="26">
        <v>45654</v>
      </c>
      <c r="J664" s="3">
        <v>23.33</v>
      </c>
      <c r="K664" s="10">
        <f>Table2[[#This Row],[Order Quantity]]*Table2[[#This Row],[Price per Unit]]</f>
        <v>78155.5</v>
      </c>
    </row>
    <row r="665" spans="1:11">
      <c r="A665" s="1" t="s">
        <v>684</v>
      </c>
      <c r="B665" s="1" t="s">
        <v>25</v>
      </c>
      <c r="C665" s="1" t="s">
        <v>20</v>
      </c>
      <c r="D665" s="10">
        <v>4339</v>
      </c>
      <c r="E665" s="10">
        <v>4308</v>
      </c>
      <c r="F665" s="4">
        <v>212</v>
      </c>
      <c r="G665" s="2">
        <v>45632</v>
      </c>
      <c r="H665" s="21">
        <f t="shared" si="10"/>
        <v>45627</v>
      </c>
      <c r="I665" s="26">
        <v>45634</v>
      </c>
      <c r="J665" s="3">
        <v>17.489999999999998</v>
      </c>
      <c r="K665" s="10">
        <f>Table2[[#This Row],[Order Quantity]]*Table2[[#This Row],[Price per Unit]]</f>
        <v>75889.109999999986</v>
      </c>
    </row>
    <row r="666" spans="1:11">
      <c r="A666" s="1" t="s">
        <v>685</v>
      </c>
      <c r="B666" s="1" t="s">
        <v>12</v>
      </c>
      <c r="C666" s="1" t="s">
        <v>20</v>
      </c>
      <c r="D666" s="10">
        <v>4934</v>
      </c>
      <c r="E666" s="10">
        <v>4870</v>
      </c>
      <c r="F666" s="4">
        <v>386</v>
      </c>
      <c r="G666" s="2">
        <v>45462</v>
      </c>
      <c r="H666" s="21">
        <f t="shared" si="10"/>
        <v>45444</v>
      </c>
      <c r="I666" s="26">
        <v>45462</v>
      </c>
      <c r="J666" s="3">
        <v>20.13</v>
      </c>
      <c r="K666" s="10">
        <f>Table2[[#This Row],[Order Quantity]]*Table2[[#This Row],[Price per Unit]]</f>
        <v>99321.42</v>
      </c>
    </row>
    <row r="667" spans="1:11">
      <c r="A667" s="1" t="s">
        <v>686</v>
      </c>
      <c r="B667" s="1" t="s">
        <v>27</v>
      </c>
      <c r="C667" s="1" t="s">
        <v>16</v>
      </c>
      <c r="D667" s="10">
        <v>1072</v>
      </c>
      <c r="E667" s="10">
        <v>1027</v>
      </c>
      <c r="F667" s="4">
        <v>26</v>
      </c>
      <c r="G667" s="2">
        <v>45430</v>
      </c>
      <c r="H667" s="21">
        <f t="shared" si="10"/>
        <v>45413</v>
      </c>
      <c r="I667" s="26">
        <v>45433</v>
      </c>
      <c r="J667" s="3">
        <v>16.940000000000001</v>
      </c>
      <c r="K667" s="10">
        <f>Table2[[#This Row],[Order Quantity]]*Table2[[#This Row],[Price per Unit]]</f>
        <v>18159.68</v>
      </c>
    </row>
    <row r="668" spans="1:11">
      <c r="A668" s="1" t="s">
        <v>687</v>
      </c>
      <c r="B668" s="1" t="s">
        <v>18</v>
      </c>
      <c r="C668" s="1" t="s">
        <v>45</v>
      </c>
      <c r="D668" s="10">
        <v>3087</v>
      </c>
      <c r="E668" s="10">
        <v>3022</v>
      </c>
      <c r="F668" s="4">
        <v>74</v>
      </c>
      <c r="G668" s="2">
        <v>45559</v>
      </c>
      <c r="H668" s="21">
        <f t="shared" si="10"/>
        <v>45536</v>
      </c>
      <c r="I668" s="26">
        <v>45559</v>
      </c>
      <c r="J668" s="3">
        <v>24.91</v>
      </c>
      <c r="K668" s="10">
        <f>Table2[[#This Row],[Order Quantity]]*Table2[[#This Row],[Price per Unit]]</f>
        <v>76897.17</v>
      </c>
    </row>
    <row r="669" spans="1:11">
      <c r="A669" s="1" t="s">
        <v>688</v>
      </c>
      <c r="B669" s="1" t="s">
        <v>15</v>
      </c>
      <c r="C669" s="1" t="s">
        <v>13</v>
      </c>
      <c r="D669" s="10">
        <v>2717</v>
      </c>
      <c r="E669" s="10">
        <v>2736</v>
      </c>
      <c r="F669" s="4">
        <v>140</v>
      </c>
      <c r="G669" s="2">
        <v>45480</v>
      </c>
      <c r="H669" s="21">
        <f t="shared" si="10"/>
        <v>45474</v>
      </c>
      <c r="I669" s="26">
        <v>45480</v>
      </c>
      <c r="J669" s="3">
        <v>6.07</v>
      </c>
      <c r="K669" s="10">
        <f>Table2[[#This Row],[Order Quantity]]*Table2[[#This Row],[Price per Unit]]</f>
        <v>16492.190000000002</v>
      </c>
    </row>
    <row r="670" spans="1:11">
      <c r="A670" s="1" t="s">
        <v>689</v>
      </c>
      <c r="B670" s="1" t="s">
        <v>18</v>
      </c>
      <c r="C670" s="1" t="s">
        <v>16</v>
      </c>
      <c r="D670" s="10">
        <v>3726</v>
      </c>
      <c r="E670" s="10">
        <v>3732</v>
      </c>
      <c r="F670" s="4">
        <v>134</v>
      </c>
      <c r="G670" s="2">
        <v>45568</v>
      </c>
      <c r="H670" s="21">
        <f t="shared" si="10"/>
        <v>45566</v>
      </c>
      <c r="I670" s="26">
        <v>45569</v>
      </c>
      <c r="J670" s="3">
        <v>23.83</v>
      </c>
      <c r="K670" s="10">
        <f>Table2[[#This Row],[Order Quantity]]*Table2[[#This Row],[Price per Unit]]</f>
        <v>88790.579999999987</v>
      </c>
    </row>
    <row r="671" spans="1:11">
      <c r="A671" s="1" t="s">
        <v>690</v>
      </c>
      <c r="B671" s="1" t="s">
        <v>27</v>
      </c>
      <c r="C671" s="1" t="s">
        <v>16</v>
      </c>
      <c r="D671" s="10">
        <v>4216</v>
      </c>
      <c r="E671" s="10">
        <v>3828</v>
      </c>
      <c r="F671" s="4">
        <v>210</v>
      </c>
      <c r="G671" s="2">
        <v>45473</v>
      </c>
      <c r="H671" s="21">
        <f t="shared" si="10"/>
        <v>45444</v>
      </c>
      <c r="I671" s="26">
        <v>45473</v>
      </c>
      <c r="J671" s="3">
        <v>24.48</v>
      </c>
      <c r="K671" s="10">
        <f>Table2[[#This Row],[Order Quantity]]*Table2[[#This Row],[Price per Unit]]</f>
        <v>103207.68000000001</v>
      </c>
    </row>
    <row r="672" spans="1:11">
      <c r="A672" s="1" t="s">
        <v>691</v>
      </c>
      <c r="B672" s="1" t="s">
        <v>25</v>
      </c>
      <c r="C672" s="1" t="s">
        <v>13</v>
      </c>
      <c r="D672" s="10">
        <v>1417</v>
      </c>
      <c r="E672" s="10">
        <v>1308</v>
      </c>
      <c r="F672" s="4">
        <v>71</v>
      </c>
      <c r="G672" s="2">
        <v>45434</v>
      </c>
      <c r="H672" s="21">
        <f t="shared" si="10"/>
        <v>45413</v>
      </c>
      <c r="I672" s="26">
        <v>45441</v>
      </c>
      <c r="J672" s="3">
        <v>16.989999999999998</v>
      </c>
      <c r="K672" s="10">
        <f>Table2[[#This Row],[Order Quantity]]*Table2[[#This Row],[Price per Unit]]</f>
        <v>24074.829999999998</v>
      </c>
    </row>
    <row r="673" spans="1:11">
      <c r="A673" s="1" t="s">
        <v>692</v>
      </c>
      <c r="B673" s="1" t="s">
        <v>27</v>
      </c>
      <c r="C673" s="1" t="s">
        <v>20</v>
      </c>
      <c r="D673" s="10">
        <v>2249</v>
      </c>
      <c r="E673" s="10">
        <v>2219</v>
      </c>
      <c r="F673" s="4">
        <v>92</v>
      </c>
      <c r="G673" s="2">
        <v>45403</v>
      </c>
      <c r="H673" s="21">
        <f t="shared" si="10"/>
        <v>45383</v>
      </c>
      <c r="I673" s="26">
        <v>45403</v>
      </c>
      <c r="J673" s="3">
        <v>23.97</v>
      </c>
      <c r="K673" s="10">
        <f>Table2[[#This Row],[Order Quantity]]*Table2[[#This Row],[Price per Unit]]</f>
        <v>53908.53</v>
      </c>
    </row>
    <row r="674" spans="1:11">
      <c r="A674" s="1" t="s">
        <v>693</v>
      </c>
      <c r="B674" s="1" t="s">
        <v>12</v>
      </c>
      <c r="C674" s="1" t="s">
        <v>16</v>
      </c>
      <c r="D674" s="10">
        <v>874</v>
      </c>
      <c r="E674" s="10">
        <v>809</v>
      </c>
      <c r="F674" s="4">
        <v>33</v>
      </c>
      <c r="G674" s="2">
        <v>45311</v>
      </c>
      <c r="H674" s="21">
        <f t="shared" si="10"/>
        <v>45292</v>
      </c>
      <c r="I674" s="26">
        <v>45314</v>
      </c>
      <c r="J674" s="3">
        <v>14.1</v>
      </c>
      <c r="K674" s="10">
        <f>Table2[[#This Row],[Order Quantity]]*Table2[[#This Row],[Price per Unit]]</f>
        <v>12323.4</v>
      </c>
    </row>
    <row r="675" spans="1:11">
      <c r="A675" s="1" t="s">
        <v>694</v>
      </c>
      <c r="B675" s="1" t="s">
        <v>18</v>
      </c>
      <c r="C675" s="1" t="s">
        <v>45</v>
      </c>
      <c r="D675" s="10">
        <v>3190</v>
      </c>
      <c r="E675" s="10">
        <v>3176</v>
      </c>
      <c r="F675" s="4">
        <v>243</v>
      </c>
      <c r="G675" s="2">
        <v>45613</v>
      </c>
      <c r="H675" s="21">
        <f t="shared" si="10"/>
        <v>45597</v>
      </c>
      <c r="I675" s="26">
        <v>45615</v>
      </c>
      <c r="J675" s="3">
        <v>22.63</v>
      </c>
      <c r="K675" s="10">
        <f>Table2[[#This Row],[Order Quantity]]*Table2[[#This Row],[Price per Unit]]</f>
        <v>72189.7</v>
      </c>
    </row>
    <row r="676" spans="1:11">
      <c r="A676" s="1" t="s">
        <v>695</v>
      </c>
      <c r="B676" s="1" t="s">
        <v>15</v>
      </c>
      <c r="C676" s="1" t="s">
        <v>13</v>
      </c>
      <c r="D676" s="10">
        <v>1444</v>
      </c>
      <c r="E676" s="10">
        <v>1359</v>
      </c>
      <c r="F676" s="4">
        <v>101</v>
      </c>
      <c r="G676" s="2">
        <v>45655</v>
      </c>
      <c r="H676" s="21">
        <f t="shared" si="10"/>
        <v>45658</v>
      </c>
      <c r="I676" s="26">
        <v>45662</v>
      </c>
      <c r="J676" s="3">
        <v>16.66</v>
      </c>
      <c r="K676" s="10">
        <f>Table2[[#This Row],[Order Quantity]]*Table2[[#This Row],[Price per Unit]]</f>
        <v>24057.040000000001</v>
      </c>
    </row>
    <row r="677" spans="1:11">
      <c r="A677" s="1" t="s">
        <v>696</v>
      </c>
      <c r="B677" s="1" t="s">
        <v>18</v>
      </c>
      <c r="C677" s="1" t="s">
        <v>22</v>
      </c>
      <c r="D677" s="10">
        <v>4382</v>
      </c>
      <c r="E677" s="10">
        <v>3977</v>
      </c>
      <c r="F677" s="4">
        <v>48</v>
      </c>
      <c r="G677" s="2">
        <v>45500</v>
      </c>
      <c r="H677" s="21">
        <f t="shared" si="10"/>
        <v>45505</v>
      </c>
      <c r="I677" s="26">
        <v>45507</v>
      </c>
      <c r="J677" s="3">
        <v>13.47</v>
      </c>
      <c r="K677" s="10">
        <f>Table2[[#This Row],[Order Quantity]]*Table2[[#This Row],[Price per Unit]]</f>
        <v>59025.54</v>
      </c>
    </row>
    <row r="678" spans="1:11">
      <c r="A678" s="1" t="s">
        <v>697</v>
      </c>
      <c r="B678" s="1" t="s">
        <v>25</v>
      </c>
      <c r="C678" s="1" t="s">
        <v>16</v>
      </c>
      <c r="D678" s="10">
        <v>2887</v>
      </c>
      <c r="E678" s="10">
        <v>2979</v>
      </c>
      <c r="F678" s="4">
        <v>213</v>
      </c>
      <c r="G678" s="2">
        <v>45298</v>
      </c>
      <c r="H678" s="21">
        <f t="shared" si="10"/>
        <v>45292</v>
      </c>
      <c r="I678" s="26">
        <v>45305</v>
      </c>
      <c r="J678" s="3">
        <v>18.18</v>
      </c>
      <c r="K678" s="10">
        <f>Table2[[#This Row],[Order Quantity]]*Table2[[#This Row],[Price per Unit]]</f>
        <v>52485.659999999996</v>
      </c>
    </row>
    <row r="679" spans="1:11">
      <c r="A679" s="1" t="s">
        <v>698</v>
      </c>
      <c r="B679" s="1" t="s">
        <v>18</v>
      </c>
      <c r="C679" s="1" t="s">
        <v>13</v>
      </c>
      <c r="D679" s="10">
        <v>1454</v>
      </c>
      <c r="E679" s="10">
        <v>1501</v>
      </c>
      <c r="F679" s="4">
        <v>35</v>
      </c>
      <c r="G679" s="2">
        <v>45379</v>
      </c>
      <c r="H679" s="21">
        <f t="shared" si="10"/>
        <v>45383</v>
      </c>
      <c r="I679" s="26">
        <v>45386</v>
      </c>
      <c r="J679" s="3">
        <v>19.75</v>
      </c>
      <c r="K679" s="10">
        <f>Table2[[#This Row],[Order Quantity]]*Table2[[#This Row],[Price per Unit]]</f>
        <v>28716.5</v>
      </c>
    </row>
    <row r="680" spans="1:11">
      <c r="A680" s="1" t="s">
        <v>699</v>
      </c>
      <c r="B680" s="1" t="s">
        <v>27</v>
      </c>
      <c r="C680" s="1" t="s">
        <v>45</v>
      </c>
      <c r="D680" s="10">
        <v>4774</v>
      </c>
      <c r="E680" s="10">
        <v>4318</v>
      </c>
      <c r="F680" s="4">
        <v>314</v>
      </c>
      <c r="G680" s="2">
        <v>45410</v>
      </c>
      <c r="H680" s="21">
        <f t="shared" si="10"/>
        <v>45383</v>
      </c>
      <c r="I680" s="26">
        <v>45410</v>
      </c>
      <c r="J680" s="3">
        <v>17.45</v>
      </c>
      <c r="K680" s="10">
        <f>Table2[[#This Row],[Order Quantity]]*Table2[[#This Row],[Price per Unit]]</f>
        <v>83306.3</v>
      </c>
    </row>
    <row r="681" spans="1:11">
      <c r="A681" s="1" t="s">
        <v>700</v>
      </c>
      <c r="B681" s="1" t="s">
        <v>25</v>
      </c>
      <c r="C681" s="1" t="s">
        <v>22</v>
      </c>
      <c r="D681" s="10">
        <v>1730</v>
      </c>
      <c r="E681" s="10">
        <v>1776</v>
      </c>
      <c r="F681" s="4">
        <v>25</v>
      </c>
      <c r="G681" s="2">
        <v>45522</v>
      </c>
      <c r="H681" s="21">
        <f t="shared" si="10"/>
        <v>45505</v>
      </c>
      <c r="I681" s="26">
        <v>45524</v>
      </c>
      <c r="J681" s="3">
        <v>11.71</v>
      </c>
      <c r="K681" s="10">
        <f>Table2[[#This Row],[Order Quantity]]*Table2[[#This Row],[Price per Unit]]</f>
        <v>20258.300000000003</v>
      </c>
    </row>
    <row r="682" spans="1:11">
      <c r="A682" s="1" t="s">
        <v>701</v>
      </c>
      <c r="B682" s="1" t="s">
        <v>25</v>
      </c>
      <c r="C682" s="1" t="s">
        <v>22</v>
      </c>
      <c r="D682" s="10">
        <v>4356</v>
      </c>
      <c r="E682" s="10">
        <v>4477</v>
      </c>
      <c r="F682" s="4">
        <v>338</v>
      </c>
      <c r="G682" s="2">
        <v>45302</v>
      </c>
      <c r="H682" s="21">
        <f t="shared" si="10"/>
        <v>45292</v>
      </c>
      <c r="I682" s="26">
        <v>45302</v>
      </c>
      <c r="J682" s="3">
        <v>6.7</v>
      </c>
      <c r="K682" s="10">
        <f>Table2[[#This Row],[Order Quantity]]*Table2[[#This Row],[Price per Unit]]</f>
        <v>29185.200000000001</v>
      </c>
    </row>
    <row r="683" spans="1:11">
      <c r="A683" s="1" t="s">
        <v>702</v>
      </c>
      <c r="B683" s="1" t="s">
        <v>25</v>
      </c>
      <c r="C683" s="1" t="s">
        <v>16</v>
      </c>
      <c r="D683" s="10">
        <v>1594</v>
      </c>
      <c r="E683" s="10">
        <v>1485</v>
      </c>
      <c r="F683" s="4">
        <v>38</v>
      </c>
      <c r="G683" s="2">
        <v>45649</v>
      </c>
      <c r="H683" s="21">
        <f t="shared" si="10"/>
        <v>45627</v>
      </c>
      <c r="I683" s="26">
        <v>45656</v>
      </c>
      <c r="J683" s="3">
        <v>14.38</v>
      </c>
      <c r="K683" s="10">
        <f>Table2[[#This Row],[Order Quantity]]*Table2[[#This Row],[Price per Unit]]</f>
        <v>22921.72</v>
      </c>
    </row>
    <row r="684" spans="1:11">
      <c r="A684" s="1" t="s">
        <v>703</v>
      </c>
      <c r="B684" s="1" t="s">
        <v>25</v>
      </c>
      <c r="C684" s="1" t="s">
        <v>45</v>
      </c>
      <c r="D684" s="10">
        <v>3655</v>
      </c>
      <c r="E684" s="10">
        <v>3822</v>
      </c>
      <c r="F684" s="4">
        <v>241</v>
      </c>
      <c r="G684" s="2">
        <v>45587</v>
      </c>
      <c r="H684" s="21">
        <f t="shared" si="10"/>
        <v>45566</v>
      </c>
      <c r="I684" s="26">
        <v>45588</v>
      </c>
      <c r="J684" s="3">
        <v>24.36</v>
      </c>
      <c r="K684" s="10">
        <f>Table2[[#This Row],[Order Quantity]]*Table2[[#This Row],[Price per Unit]]</f>
        <v>89035.8</v>
      </c>
    </row>
    <row r="685" spans="1:11">
      <c r="A685" s="1" t="s">
        <v>704</v>
      </c>
      <c r="B685" s="1" t="s">
        <v>15</v>
      </c>
      <c r="C685" s="1" t="s">
        <v>16</v>
      </c>
      <c r="D685" s="10">
        <v>2603</v>
      </c>
      <c r="E685" s="10">
        <v>2403</v>
      </c>
      <c r="F685" s="4">
        <v>58</v>
      </c>
      <c r="G685" s="2">
        <v>45384</v>
      </c>
      <c r="H685" s="21">
        <f t="shared" si="10"/>
        <v>45383</v>
      </c>
      <c r="I685" s="26">
        <v>45387</v>
      </c>
      <c r="J685" s="3">
        <v>17.61</v>
      </c>
      <c r="K685" s="10">
        <f>Table2[[#This Row],[Order Quantity]]*Table2[[#This Row],[Price per Unit]]</f>
        <v>45838.83</v>
      </c>
    </row>
    <row r="686" spans="1:11">
      <c r="A686" s="1" t="s">
        <v>705</v>
      </c>
      <c r="B686" s="1" t="s">
        <v>15</v>
      </c>
      <c r="C686" s="1" t="s">
        <v>22</v>
      </c>
      <c r="D686" s="10">
        <v>1583</v>
      </c>
      <c r="E686" s="10">
        <v>1620</v>
      </c>
      <c r="F686" s="4">
        <v>57</v>
      </c>
      <c r="G686" s="2">
        <v>45304</v>
      </c>
      <c r="H686" s="21">
        <f t="shared" si="10"/>
        <v>45292</v>
      </c>
      <c r="I686" s="26">
        <v>45311</v>
      </c>
      <c r="J686" s="3">
        <v>12.07</v>
      </c>
      <c r="K686" s="10">
        <f>Table2[[#This Row],[Order Quantity]]*Table2[[#This Row],[Price per Unit]]</f>
        <v>19106.810000000001</v>
      </c>
    </row>
    <row r="687" spans="1:11">
      <c r="A687" s="1" t="s">
        <v>706</v>
      </c>
      <c r="B687" s="1" t="s">
        <v>27</v>
      </c>
      <c r="C687" s="1" t="s">
        <v>20</v>
      </c>
      <c r="D687" s="10">
        <v>4631</v>
      </c>
      <c r="E687" s="10">
        <v>4314</v>
      </c>
      <c r="F687" s="4">
        <v>287</v>
      </c>
      <c r="G687" s="2">
        <v>45457</v>
      </c>
      <c r="H687" s="21">
        <f t="shared" si="10"/>
        <v>45444</v>
      </c>
      <c r="I687" s="26">
        <v>45462</v>
      </c>
      <c r="J687" s="3">
        <v>7.94</v>
      </c>
      <c r="K687" s="10">
        <f>Table2[[#This Row],[Order Quantity]]*Table2[[#This Row],[Price per Unit]]</f>
        <v>36770.14</v>
      </c>
    </row>
    <row r="688" spans="1:11">
      <c r="A688" s="1" t="s">
        <v>707</v>
      </c>
      <c r="B688" s="1" t="s">
        <v>15</v>
      </c>
      <c r="C688" s="1" t="s">
        <v>22</v>
      </c>
      <c r="D688" s="10">
        <v>2379</v>
      </c>
      <c r="E688" s="10">
        <v>2196</v>
      </c>
      <c r="F688" s="4">
        <v>34</v>
      </c>
      <c r="G688" s="2">
        <v>45302</v>
      </c>
      <c r="H688" s="21">
        <f t="shared" si="10"/>
        <v>45292</v>
      </c>
      <c r="I688" s="26">
        <v>45303</v>
      </c>
      <c r="J688" s="3">
        <v>14.69</v>
      </c>
      <c r="K688" s="10">
        <f>Table2[[#This Row],[Order Quantity]]*Table2[[#This Row],[Price per Unit]]</f>
        <v>34947.51</v>
      </c>
    </row>
    <row r="689" spans="1:11">
      <c r="A689" s="1" t="s">
        <v>708</v>
      </c>
      <c r="B689" s="1" t="s">
        <v>15</v>
      </c>
      <c r="C689" s="1" t="s">
        <v>16</v>
      </c>
      <c r="D689" s="10">
        <v>3873</v>
      </c>
      <c r="E689" s="10">
        <v>3952</v>
      </c>
      <c r="F689" s="4">
        <v>77</v>
      </c>
      <c r="G689" s="2">
        <v>45419</v>
      </c>
      <c r="H689" s="21">
        <f t="shared" si="10"/>
        <v>45413</v>
      </c>
      <c r="I689" s="26">
        <v>45422</v>
      </c>
      <c r="J689" s="3">
        <v>16.61</v>
      </c>
      <c r="K689" s="10">
        <f>Table2[[#This Row],[Order Quantity]]*Table2[[#This Row],[Price per Unit]]</f>
        <v>64330.53</v>
      </c>
    </row>
    <row r="690" spans="1:11">
      <c r="A690" s="1" t="s">
        <v>709</v>
      </c>
      <c r="B690" s="1" t="s">
        <v>27</v>
      </c>
      <c r="C690" s="1" t="s">
        <v>16</v>
      </c>
      <c r="D690" s="10">
        <v>2443</v>
      </c>
      <c r="E690" s="10">
        <v>2427</v>
      </c>
      <c r="F690" s="4">
        <v>70</v>
      </c>
      <c r="G690" s="2">
        <v>45436</v>
      </c>
      <c r="H690" s="21">
        <f t="shared" si="10"/>
        <v>45413</v>
      </c>
      <c r="I690" s="26">
        <v>45436</v>
      </c>
      <c r="J690" s="3">
        <v>14.76</v>
      </c>
      <c r="K690" s="10">
        <f>Table2[[#This Row],[Order Quantity]]*Table2[[#This Row],[Price per Unit]]</f>
        <v>36058.68</v>
      </c>
    </row>
    <row r="691" spans="1:11">
      <c r="A691" s="1" t="s">
        <v>710</v>
      </c>
      <c r="B691" s="1" t="s">
        <v>15</v>
      </c>
      <c r="C691" s="1" t="s">
        <v>20</v>
      </c>
      <c r="D691" s="10">
        <v>3818</v>
      </c>
      <c r="E691" s="10">
        <v>3999</v>
      </c>
      <c r="F691" s="4">
        <v>150</v>
      </c>
      <c r="G691" s="2">
        <v>45472</v>
      </c>
      <c r="H691" s="21">
        <f t="shared" si="10"/>
        <v>45474</v>
      </c>
      <c r="I691" s="26">
        <v>45479</v>
      </c>
      <c r="J691" s="3">
        <v>19.3</v>
      </c>
      <c r="K691" s="10">
        <f>Table2[[#This Row],[Order Quantity]]*Table2[[#This Row],[Price per Unit]]</f>
        <v>73687.400000000009</v>
      </c>
    </row>
    <row r="692" spans="1:11">
      <c r="A692" s="1" t="s">
        <v>711</v>
      </c>
      <c r="B692" s="1" t="s">
        <v>12</v>
      </c>
      <c r="C692" s="1" t="s">
        <v>13</v>
      </c>
      <c r="D692" s="10">
        <v>725</v>
      </c>
      <c r="E692" s="10">
        <v>702</v>
      </c>
      <c r="F692" s="4">
        <v>42</v>
      </c>
      <c r="G692" s="2">
        <v>45397</v>
      </c>
      <c r="H692" s="21">
        <f t="shared" si="10"/>
        <v>45383</v>
      </c>
      <c r="I692" s="26">
        <v>45402</v>
      </c>
      <c r="J692" s="3">
        <v>16.489999999999998</v>
      </c>
      <c r="K692" s="10">
        <f>Table2[[#This Row],[Order Quantity]]*Table2[[#This Row],[Price per Unit]]</f>
        <v>11955.249999999998</v>
      </c>
    </row>
    <row r="693" spans="1:11">
      <c r="A693" s="1" t="s">
        <v>712</v>
      </c>
      <c r="B693" s="1" t="s">
        <v>15</v>
      </c>
      <c r="C693" s="1" t="s">
        <v>22</v>
      </c>
      <c r="D693" s="10">
        <v>2026</v>
      </c>
      <c r="E693" s="10">
        <v>2078</v>
      </c>
      <c r="F693" s="4">
        <v>164</v>
      </c>
      <c r="G693" s="2">
        <v>45439</v>
      </c>
      <c r="H693" s="21">
        <f t="shared" si="10"/>
        <v>45413</v>
      </c>
      <c r="I693" s="26">
        <v>45439</v>
      </c>
      <c r="J693" s="3">
        <v>22.79</v>
      </c>
      <c r="K693" s="10">
        <f>Table2[[#This Row],[Order Quantity]]*Table2[[#This Row],[Price per Unit]]</f>
        <v>46172.54</v>
      </c>
    </row>
    <row r="694" spans="1:11">
      <c r="A694" s="1" t="s">
        <v>713</v>
      </c>
      <c r="B694" s="1" t="s">
        <v>27</v>
      </c>
      <c r="C694" s="1" t="s">
        <v>20</v>
      </c>
      <c r="D694" s="10">
        <v>4302</v>
      </c>
      <c r="E694" s="10">
        <v>4209</v>
      </c>
      <c r="F694" s="4">
        <v>180</v>
      </c>
      <c r="G694" s="2">
        <v>45623</v>
      </c>
      <c r="H694" s="21">
        <f t="shared" si="10"/>
        <v>45597</v>
      </c>
      <c r="I694" s="26">
        <v>45624</v>
      </c>
      <c r="J694" s="3">
        <v>18.12</v>
      </c>
      <c r="K694" s="10">
        <f>Table2[[#This Row],[Order Quantity]]*Table2[[#This Row],[Price per Unit]]</f>
        <v>77952.240000000005</v>
      </c>
    </row>
    <row r="695" spans="1:11">
      <c r="A695" s="1" t="s">
        <v>714</v>
      </c>
      <c r="B695" s="1" t="s">
        <v>25</v>
      </c>
      <c r="C695" s="1" t="s">
        <v>16</v>
      </c>
      <c r="D695" s="10">
        <v>3609</v>
      </c>
      <c r="E695" s="10">
        <v>3701</v>
      </c>
      <c r="F695" s="4">
        <v>130</v>
      </c>
      <c r="G695" s="2">
        <v>45309</v>
      </c>
      <c r="H695" s="21">
        <f t="shared" si="10"/>
        <v>45292</v>
      </c>
      <c r="I695" s="26">
        <v>45316</v>
      </c>
      <c r="J695" s="3">
        <v>22.2</v>
      </c>
      <c r="K695" s="10">
        <f>Table2[[#This Row],[Order Quantity]]*Table2[[#This Row],[Price per Unit]]</f>
        <v>80119.8</v>
      </c>
    </row>
    <row r="696" spans="1:11">
      <c r="A696" s="1" t="s">
        <v>715</v>
      </c>
      <c r="B696" s="1" t="s">
        <v>15</v>
      </c>
      <c r="C696" s="1" t="s">
        <v>20</v>
      </c>
      <c r="D696" s="10">
        <v>2330</v>
      </c>
      <c r="E696" s="10">
        <v>2255</v>
      </c>
      <c r="F696" s="4">
        <v>142</v>
      </c>
      <c r="G696" s="2">
        <v>45656</v>
      </c>
      <c r="H696" s="21">
        <f t="shared" si="10"/>
        <v>45627</v>
      </c>
      <c r="I696" s="26">
        <v>45656</v>
      </c>
      <c r="J696" s="3">
        <v>7.52</v>
      </c>
      <c r="K696" s="10">
        <f>Table2[[#This Row],[Order Quantity]]*Table2[[#This Row],[Price per Unit]]</f>
        <v>17521.599999999999</v>
      </c>
    </row>
    <row r="697" spans="1:11">
      <c r="A697" s="1" t="s">
        <v>716</v>
      </c>
      <c r="B697" s="1" t="s">
        <v>12</v>
      </c>
      <c r="C697" s="1" t="s">
        <v>20</v>
      </c>
      <c r="D697" s="10">
        <v>2532</v>
      </c>
      <c r="E697" s="10">
        <v>2345</v>
      </c>
      <c r="F697" s="4">
        <v>116</v>
      </c>
      <c r="G697" s="2">
        <v>45637</v>
      </c>
      <c r="H697" s="21">
        <f t="shared" si="10"/>
        <v>45627</v>
      </c>
      <c r="I697" s="26">
        <v>45640</v>
      </c>
      <c r="J697" s="3">
        <v>16.59</v>
      </c>
      <c r="K697" s="10">
        <f>Table2[[#This Row],[Order Quantity]]*Table2[[#This Row],[Price per Unit]]</f>
        <v>42005.88</v>
      </c>
    </row>
    <row r="698" spans="1:11">
      <c r="A698" s="1" t="s">
        <v>717</v>
      </c>
      <c r="B698" s="1" t="s">
        <v>15</v>
      </c>
      <c r="C698" s="1" t="s">
        <v>22</v>
      </c>
      <c r="D698" s="10">
        <v>2130</v>
      </c>
      <c r="E698" s="10">
        <v>2045</v>
      </c>
      <c r="F698" s="4">
        <v>159</v>
      </c>
      <c r="G698" s="2">
        <v>45624</v>
      </c>
      <c r="H698" s="21">
        <f t="shared" si="10"/>
        <v>45627</v>
      </c>
      <c r="I698" s="26">
        <v>45631</v>
      </c>
      <c r="J698" s="3">
        <v>23.65</v>
      </c>
      <c r="K698" s="10">
        <f>Table2[[#This Row],[Order Quantity]]*Table2[[#This Row],[Price per Unit]]</f>
        <v>50374.5</v>
      </c>
    </row>
    <row r="699" spans="1:11">
      <c r="A699" s="1" t="s">
        <v>718</v>
      </c>
      <c r="B699" s="1" t="s">
        <v>12</v>
      </c>
      <c r="C699" s="1" t="s">
        <v>13</v>
      </c>
      <c r="D699" s="10">
        <v>3758</v>
      </c>
      <c r="E699" s="10">
        <v>3461</v>
      </c>
      <c r="F699" s="4">
        <v>172</v>
      </c>
      <c r="G699" s="2">
        <v>45513</v>
      </c>
      <c r="H699" s="21">
        <f t="shared" si="10"/>
        <v>45505</v>
      </c>
      <c r="I699" s="26">
        <v>45513</v>
      </c>
      <c r="J699" s="3">
        <v>8.7100000000000009</v>
      </c>
      <c r="K699" s="10">
        <f>Table2[[#This Row],[Order Quantity]]*Table2[[#This Row],[Price per Unit]]</f>
        <v>32732.180000000004</v>
      </c>
    </row>
    <row r="700" spans="1:11">
      <c r="A700" s="1" t="s">
        <v>719</v>
      </c>
      <c r="B700" s="1" t="s">
        <v>25</v>
      </c>
      <c r="C700" s="1" t="s">
        <v>22</v>
      </c>
      <c r="D700" s="10">
        <v>2166</v>
      </c>
      <c r="E700" s="10">
        <v>2008</v>
      </c>
      <c r="F700" s="4">
        <v>136</v>
      </c>
      <c r="G700" s="2">
        <v>45491</v>
      </c>
      <c r="H700" s="21">
        <f t="shared" si="10"/>
        <v>45474</v>
      </c>
      <c r="I700" s="26">
        <v>45496</v>
      </c>
      <c r="J700" s="3">
        <v>10.71</v>
      </c>
      <c r="K700" s="10">
        <f>Table2[[#This Row],[Order Quantity]]*Table2[[#This Row],[Price per Unit]]</f>
        <v>23197.86</v>
      </c>
    </row>
    <row r="701" spans="1:11">
      <c r="A701" s="1" t="s">
        <v>720</v>
      </c>
      <c r="B701" s="1" t="s">
        <v>15</v>
      </c>
      <c r="C701" s="1" t="s">
        <v>20</v>
      </c>
      <c r="D701" s="10">
        <v>571</v>
      </c>
      <c r="E701" s="10">
        <v>545</v>
      </c>
      <c r="F701" s="4">
        <v>35</v>
      </c>
      <c r="G701" s="2">
        <v>45547</v>
      </c>
      <c r="H701" s="21">
        <f t="shared" si="10"/>
        <v>45536</v>
      </c>
      <c r="I701" s="26">
        <v>45547</v>
      </c>
      <c r="J701" s="3">
        <v>10.06</v>
      </c>
      <c r="K701" s="10">
        <f>Table2[[#This Row],[Order Quantity]]*Table2[[#This Row],[Price per Unit]]</f>
        <v>5744.26</v>
      </c>
    </row>
    <row r="702" spans="1:11">
      <c r="A702" s="1" t="s">
        <v>721</v>
      </c>
      <c r="B702" s="1" t="s">
        <v>15</v>
      </c>
      <c r="C702" s="1" t="s">
        <v>22</v>
      </c>
      <c r="D702" s="10">
        <v>1326</v>
      </c>
      <c r="E702" s="10">
        <v>1361</v>
      </c>
      <c r="F702" s="4">
        <v>89</v>
      </c>
      <c r="G702" s="2">
        <v>45636</v>
      </c>
      <c r="H702" s="21">
        <f t="shared" si="10"/>
        <v>45627</v>
      </c>
      <c r="I702" s="26">
        <v>45641</v>
      </c>
      <c r="J702" s="3">
        <v>8.5</v>
      </c>
      <c r="K702" s="10">
        <f>Table2[[#This Row],[Order Quantity]]*Table2[[#This Row],[Price per Unit]]</f>
        <v>11271</v>
      </c>
    </row>
    <row r="703" spans="1:11">
      <c r="A703" s="1" t="s">
        <v>722</v>
      </c>
      <c r="B703" s="1" t="s">
        <v>27</v>
      </c>
      <c r="C703" s="1" t="s">
        <v>16</v>
      </c>
      <c r="D703" s="10">
        <v>2834</v>
      </c>
      <c r="E703" s="10">
        <v>2643</v>
      </c>
      <c r="F703" s="4">
        <v>188</v>
      </c>
      <c r="G703" s="2">
        <v>45304</v>
      </c>
      <c r="H703" s="21">
        <f t="shared" si="10"/>
        <v>45292</v>
      </c>
      <c r="I703" s="26">
        <v>45306</v>
      </c>
      <c r="J703" s="3">
        <v>9.99</v>
      </c>
      <c r="K703" s="10">
        <f>Table2[[#This Row],[Order Quantity]]*Table2[[#This Row],[Price per Unit]]</f>
        <v>28311.66</v>
      </c>
    </row>
    <row r="704" spans="1:11">
      <c r="A704" s="1" t="s">
        <v>723</v>
      </c>
      <c r="B704" s="1" t="s">
        <v>12</v>
      </c>
      <c r="C704" s="1" t="s">
        <v>20</v>
      </c>
      <c r="D704" s="10">
        <v>3186</v>
      </c>
      <c r="E704" s="10">
        <v>3154</v>
      </c>
      <c r="F704" s="4">
        <v>43</v>
      </c>
      <c r="G704" s="2">
        <v>45628</v>
      </c>
      <c r="H704" s="21">
        <f t="shared" si="10"/>
        <v>45627</v>
      </c>
      <c r="I704" s="26">
        <v>45631</v>
      </c>
      <c r="J704" s="3">
        <v>12.53</v>
      </c>
      <c r="K704" s="10">
        <f>Table2[[#This Row],[Order Quantity]]*Table2[[#This Row],[Price per Unit]]</f>
        <v>39920.579999999994</v>
      </c>
    </row>
    <row r="705" spans="1:11">
      <c r="A705" s="1" t="s">
        <v>724</v>
      </c>
      <c r="B705" s="1" t="s">
        <v>18</v>
      </c>
      <c r="C705" s="1" t="s">
        <v>45</v>
      </c>
      <c r="D705" s="10">
        <v>3479</v>
      </c>
      <c r="E705" s="10">
        <v>3370</v>
      </c>
      <c r="F705" s="4">
        <v>116</v>
      </c>
      <c r="G705" s="2">
        <v>45349</v>
      </c>
      <c r="H705" s="21">
        <f t="shared" si="10"/>
        <v>45352</v>
      </c>
      <c r="I705" s="26">
        <v>45356</v>
      </c>
      <c r="J705" s="3">
        <v>6.88</v>
      </c>
      <c r="K705" s="10">
        <f>Table2[[#This Row],[Order Quantity]]*Table2[[#This Row],[Price per Unit]]</f>
        <v>23935.52</v>
      </c>
    </row>
    <row r="706" spans="1:11">
      <c r="A706" s="1" t="s">
        <v>725</v>
      </c>
      <c r="B706" s="1" t="s">
        <v>15</v>
      </c>
      <c r="C706" s="1" t="s">
        <v>13</v>
      </c>
      <c r="D706" s="10">
        <v>4704</v>
      </c>
      <c r="E706" s="10">
        <v>4900</v>
      </c>
      <c r="F706" s="4">
        <v>258</v>
      </c>
      <c r="G706" s="2">
        <v>45402</v>
      </c>
      <c r="H706" s="21">
        <f t="shared" ref="H706:H769" si="11">DATE(YEAR(I706), MONTH(I706), 1)</f>
        <v>45383</v>
      </c>
      <c r="I706" s="26">
        <v>45402</v>
      </c>
      <c r="J706" s="3">
        <v>23.49</v>
      </c>
      <c r="K706" s="10">
        <f>Table2[[#This Row],[Order Quantity]]*Table2[[#This Row],[Price per Unit]]</f>
        <v>110496.95999999999</v>
      </c>
    </row>
    <row r="707" spans="1:11">
      <c r="A707" s="1" t="s">
        <v>726</v>
      </c>
      <c r="B707" s="1" t="s">
        <v>27</v>
      </c>
      <c r="C707" s="1" t="s">
        <v>45</v>
      </c>
      <c r="D707" s="10">
        <v>2020</v>
      </c>
      <c r="E707" s="10">
        <v>2052</v>
      </c>
      <c r="F707" s="4">
        <v>121</v>
      </c>
      <c r="G707" s="2">
        <v>45537</v>
      </c>
      <c r="H707" s="21">
        <f t="shared" si="11"/>
        <v>45536</v>
      </c>
      <c r="I707" s="26">
        <v>45537</v>
      </c>
      <c r="J707" s="3">
        <v>17.309999999999999</v>
      </c>
      <c r="K707" s="10">
        <f>Table2[[#This Row],[Order Quantity]]*Table2[[#This Row],[Price per Unit]]</f>
        <v>34966.199999999997</v>
      </c>
    </row>
    <row r="708" spans="1:11">
      <c r="A708" s="1" t="s">
        <v>727</v>
      </c>
      <c r="B708" s="1" t="s">
        <v>12</v>
      </c>
      <c r="C708" s="1" t="s">
        <v>45</v>
      </c>
      <c r="D708" s="10">
        <v>1412</v>
      </c>
      <c r="E708" s="10">
        <v>1419</v>
      </c>
      <c r="F708" s="4">
        <v>107</v>
      </c>
      <c r="G708" s="2">
        <v>45529</v>
      </c>
      <c r="H708" s="21">
        <f t="shared" si="11"/>
        <v>45505</v>
      </c>
      <c r="I708" s="26">
        <v>45532</v>
      </c>
      <c r="J708" s="3">
        <v>12.52</v>
      </c>
      <c r="K708" s="10">
        <f>Table2[[#This Row],[Order Quantity]]*Table2[[#This Row],[Price per Unit]]</f>
        <v>17678.239999999998</v>
      </c>
    </row>
    <row r="709" spans="1:11">
      <c r="A709" s="1" t="s">
        <v>728</v>
      </c>
      <c r="B709" s="1" t="s">
        <v>27</v>
      </c>
      <c r="C709" s="1" t="s">
        <v>13</v>
      </c>
      <c r="D709" s="10">
        <v>3909</v>
      </c>
      <c r="E709" s="10">
        <v>3618</v>
      </c>
      <c r="F709" s="4">
        <v>43</v>
      </c>
      <c r="G709" s="2">
        <v>45346</v>
      </c>
      <c r="H709" s="21">
        <f t="shared" si="11"/>
        <v>45323</v>
      </c>
      <c r="I709" s="26">
        <v>45346</v>
      </c>
      <c r="J709" s="3">
        <v>9.09</v>
      </c>
      <c r="K709" s="10">
        <f>Table2[[#This Row],[Order Quantity]]*Table2[[#This Row],[Price per Unit]]</f>
        <v>35532.81</v>
      </c>
    </row>
    <row r="710" spans="1:11">
      <c r="A710" s="1" t="s">
        <v>729</v>
      </c>
      <c r="B710" s="1" t="s">
        <v>18</v>
      </c>
      <c r="C710" s="1" t="s">
        <v>22</v>
      </c>
      <c r="D710" s="10">
        <v>3483</v>
      </c>
      <c r="E710" s="10">
        <v>3253</v>
      </c>
      <c r="F710" s="4">
        <v>185</v>
      </c>
      <c r="G710" s="2">
        <v>45655</v>
      </c>
      <c r="H710" s="21">
        <f t="shared" si="11"/>
        <v>45658</v>
      </c>
      <c r="I710" s="26">
        <v>45660</v>
      </c>
      <c r="J710" s="3">
        <v>14.37</v>
      </c>
      <c r="K710" s="10">
        <f>Table2[[#This Row],[Order Quantity]]*Table2[[#This Row],[Price per Unit]]</f>
        <v>50050.71</v>
      </c>
    </row>
    <row r="711" spans="1:11">
      <c r="A711" s="1" t="s">
        <v>730</v>
      </c>
      <c r="B711" s="1" t="s">
        <v>25</v>
      </c>
      <c r="C711" s="1" t="s">
        <v>22</v>
      </c>
      <c r="D711" s="10">
        <v>2931</v>
      </c>
      <c r="E711" s="10">
        <v>2653</v>
      </c>
      <c r="F711" s="4">
        <v>128</v>
      </c>
      <c r="G711" s="2">
        <v>45473</v>
      </c>
      <c r="H711" s="21">
        <f t="shared" si="11"/>
        <v>45474</v>
      </c>
      <c r="I711" s="26">
        <v>45478</v>
      </c>
      <c r="J711" s="3">
        <v>13.76</v>
      </c>
      <c r="K711" s="10">
        <f>Table2[[#This Row],[Order Quantity]]*Table2[[#This Row],[Price per Unit]]</f>
        <v>40330.559999999998</v>
      </c>
    </row>
    <row r="712" spans="1:11">
      <c r="A712" s="1" t="s">
        <v>731</v>
      </c>
      <c r="B712" s="1" t="s">
        <v>15</v>
      </c>
      <c r="C712" s="1" t="s">
        <v>20</v>
      </c>
      <c r="D712" s="10">
        <v>3572</v>
      </c>
      <c r="E712" s="10">
        <v>3641</v>
      </c>
      <c r="F712" s="4">
        <v>228</v>
      </c>
      <c r="G712" s="2">
        <v>45579</v>
      </c>
      <c r="H712" s="21">
        <f t="shared" si="11"/>
        <v>45566</v>
      </c>
      <c r="I712" s="26">
        <v>45584</v>
      </c>
      <c r="J712" s="3">
        <v>9.31</v>
      </c>
      <c r="K712" s="10">
        <f>Table2[[#This Row],[Order Quantity]]*Table2[[#This Row],[Price per Unit]]</f>
        <v>33255.32</v>
      </c>
    </row>
    <row r="713" spans="1:11">
      <c r="A713" s="1" t="s">
        <v>732</v>
      </c>
      <c r="B713" s="1" t="s">
        <v>27</v>
      </c>
      <c r="C713" s="1" t="s">
        <v>22</v>
      </c>
      <c r="D713" s="10">
        <v>2004</v>
      </c>
      <c r="E713" s="10">
        <v>2036</v>
      </c>
      <c r="F713" s="4">
        <v>150</v>
      </c>
      <c r="G713" s="2">
        <v>45446</v>
      </c>
      <c r="H713" s="21">
        <f t="shared" si="11"/>
        <v>45444</v>
      </c>
      <c r="I713" s="26">
        <v>45449</v>
      </c>
      <c r="J713" s="3">
        <v>8.7799999999999994</v>
      </c>
      <c r="K713" s="10">
        <f>Table2[[#This Row],[Order Quantity]]*Table2[[#This Row],[Price per Unit]]</f>
        <v>17595.12</v>
      </c>
    </row>
    <row r="714" spans="1:11">
      <c r="A714" s="1" t="s">
        <v>733</v>
      </c>
      <c r="B714" s="1" t="s">
        <v>27</v>
      </c>
      <c r="C714" s="1" t="s">
        <v>20</v>
      </c>
      <c r="D714" s="10">
        <v>1844</v>
      </c>
      <c r="E714" s="10">
        <v>1828</v>
      </c>
      <c r="F714" s="4">
        <v>43</v>
      </c>
      <c r="G714" s="2">
        <v>45394</v>
      </c>
      <c r="H714" s="21">
        <f t="shared" si="11"/>
        <v>45383</v>
      </c>
      <c r="I714" s="26">
        <v>45394</v>
      </c>
      <c r="J714" s="3">
        <v>6.11</v>
      </c>
      <c r="K714" s="10">
        <f>Table2[[#This Row],[Order Quantity]]*Table2[[#This Row],[Price per Unit]]</f>
        <v>11266.84</v>
      </c>
    </row>
    <row r="715" spans="1:11">
      <c r="A715" s="1" t="s">
        <v>734</v>
      </c>
      <c r="B715" s="1" t="s">
        <v>15</v>
      </c>
      <c r="C715" s="1" t="s">
        <v>20</v>
      </c>
      <c r="D715" s="10">
        <v>2004</v>
      </c>
      <c r="E715" s="10">
        <v>1874</v>
      </c>
      <c r="F715" s="4">
        <v>107</v>
      </c>
      <c r="G715" s="2">
        <v>45347</v>
      </c>
      <c r="H715" s="21">
        <f t="shared" si="11"/>
        <v>45323</v>
      </c>
      <c r="I715" s="26">
        <v>45350</v>
      </c>
      <c r="J715" s="3">
        <v>16.32</v>
      </c>
      <c r="K715" s="10">
        <f>Table2[[#This Row],[Order Quantity]]*Table2[[#This Row],[Price per Unit]]</f>
        <v>32705.279999999999</v>
      </c>
    </row>
    <row r="716" spans="1:11">
      <c r="A716" s="1" t="s">
        <v>735</v>
      </c>
      <c r="B716" s="1" t="s">
        <v>12</v>
      </c>
      <c r="C716" s="1" t="s">
        <v>22</v>
      </c>
      <c r="D716" s="10">
        <v>4937</v>
      </c>
      <c r="E716" s="10">
        <v>4492</v>
      </c>
      <c r="F716" s="4">
        <v>50</v>
      </c>
      <c r="G716" s="2">
        <v>45601</v>
      </c>
      <c r="H716" s="21">
        <f t="shared" si="11"/>
        <v>45597</v>
      </c>
      <c r="I716" s="26">
        <v>45608</v>
      </c>
      <c r="J716" s="3">
        <v>21.54</v>
      </c>
      <c r="K716" s="10">
        <f>Table2[[#This Row],[Order Quantity]]*Table2[[#This Row],[Price per Unit]]</f>
        <v>106342.98</v>
      </c>
    </row>
    <row r="717" spans="1:11">
      <c r="A717" s="1" t="s">
        <v>736</v>
      </c>
      <c r="B717" s="1" t="s">
        <v>15</v>
      </c>
      <c r="C717" s="1" t="s">
        <v>13</v>
      </c>
      <c r="D717" s="10">
        <v>1756</v>
      </c>
      <c r="E717" s="10">
        <v>1654</v>
      </c>
      <c r="F717" s="4">
        <v>65</v>
      </c>
      <c r="G717" s="2">
        <v>45440</v>
      </c>
      <c r="H717" s="21">
        <f t="shared" si="11"/>
        <v>45413</v>
      </c>
      <c r="I717" s="26">
        <v>45440</v>
      </c>
      <c r="J717" s="3">
        <v>10.85</v>
      </c>
      <c r="K717" s="10">
        <f>Table2[[#This Row],[Order Quantity]]*Table2[[#This Row],[Price per Unit]]</f>
        <v>19052.599999999999</v>
      </c>
    </row>
    <row r="718" spans="1:11">
      <c r="A718" s="1" t="s">
        <v>737</v>
      </c>
      <c r="B718" s="1" t="s">
        <v>18</v>
      </c>
      <c r="C718" s="1" t="s">
        <v>13</v>
      </c>
      <c r="D718" s="10">
        <v>1973</v>
      </c>
      <c r="E718" s="10">
        <v>1973</v>
      </c>
      <c r="F718" s="4">
        <v>148</v>
      </c>
      <c r="G718" s="2">
        <v>45564</v>
      </c>
      <c r="H718" s="21">
        <f t="shared" si="11"/>
        <v>45566</v>
      </c>
      <c r="I718" s="26">
        <v>45567</v>
      </c>
      <c r="J718" s="3">
        <v>10.31</v>
      </c>
      <c r="K718" s="10">
        <f>Table2[[#This Row],[Order Quantity]]*Table2[[#This Row],[Price per Unit]]</f>
        <v>20341.63</v>
      </c>
    </row>
    <row r="719" spans="1:11">
      <c r="A719" s="1" t="s">
        <v>738</v>
      </c>
      <c r="B719" s="1" t="s">
        <v>25</v>
      </c>
      <c r="C719" s="1" t="s">
        <v>45</v>
      </c>
      <c r="D719" s="10">
        <v>3718</v>
      </c>
      <c r="E719" s="10">
        <v>3453</v>
      </c>
      <c r="F719" s="4">
        <v>105</v>
      </c>
      <c r="G719" s="2">
        <v>45584</v>
      </c>
      <c r="H719" s="21">
        <f t="shared" si="11"/>
        <v>45566</v>
      </c>
      <c r="I719" s="26">
        <v>45584</v>
      </c>
      <c r="J719" s="3">
        <v>17.39</v>
      </c>
      <c r="K719" s="10">
        <f>Table2[[#This Row],[Order Quantity]]*Table2[[#This Row],[Price per Unit]]</f>
        <v>64656.020000000004</v>
      </c>
    </row>
    <row r="720" spans="1:11">
      <c r="A720" s="1" t="s">
        <v>739</v>
      </c>
      <c r="B720" s="1" t="s">
        <v>15</v>
      </c>
      <c r="C720" s="1" t="s">
        <v>13</v>
      </c>
      <c r="D720" s="10">
        <v>4297</v>
      </c>
      <c r="E720" s="10">
        <v>4046</v>
      </c>
      <c r="F720" s="4">
        <v>120</v>
      </c>
      <c r="G720" s="2">
        <v>45599</v>
      </c>
      <c r="H720" s="21">
        <f t="shared" si="11"/>
        <v>45597</v>
      </c>
      <c r="I720" s="26">
        <v>45599</v>
      </c>
      <c r="J720" s="3">
        <v>24.27</v>
      </c>
      <c r="K720" s="10">
        <f>Table2[[#This Row],[Order Quantity]]*Table2[[#This Row],[Price per Unit]]</f>
        <v>104288.19</v>
      </c>
    </row>
    <row r="721" spans="1:11">
      <c r="A721" s="1" t="s">
        <v>740</v>
      </c>
      <c r="B721" s="1" t="s">
        <v>18</v>
      </c>
      <c r="C721" s="1" t="s">
        <v>22</v>
      </c>
      <c r="D721" s="10">
        <v>3859</v>
      </c>
      <c r="E721" s="10">
        <v>3787</v>
      </c>
      <c r="F721" s="4">
        <v>129</v>
      </c>
      <c r="G721" s="2">
        <v>45374</v>
      </c>
      <c r="H721" s="21">
        <f t="shared" si="11"/>
        <v>45352</v>
      </c>
      <c r="I721" s="26">
        <v>45374</v>
      </c>
      <c r="J721" s="3">
        <v>13.71</v>
      </c>
      <c r="K721" s="10">
        <f>Table2[[#This Row],[Order Quantity]]*Table2[[#This Row],[Price per Unit]]</f>
        <v>52906.890000000007</v>
      </c>
    </row>
    <row r="722" spans="1:11">
      <c r="A722" s="1" t="s">
        <v>741</v>
      </c>
      <c r="B722" s="1" t="s">
        <v>25</v>
      </c>
      <c r="C722" s="1" t="s">
        <v>45</v>
      </c>
      <c r="D722" s="10">
        <v>1878</v>
      </c>
      <c r="E722" s="10">
        <v>1730</v>
      </c>
      <c r="F722" s="4">
        <v>55</v>
      </c>
      <c r="G722" s="2">
        <v>45501</v>
      </c>
      <c r="H722" s="21">
        <f t="shared" si="11"/>
        <v>45505</v>
      </c>
      <c r="I722" s="26">
        <v>45508</v>
      </c>
      <c r="J722" s="3">
        <v>21.99</v>
      </c>
      <c r="K722" s="10">
        <f>Table2[[#This Row],[Order Quantity]]*Table2[[#This Row],[Price per Unit]]</f>
        <v>41297.219999999994</v>
      </c>
    </row>
    <row r="723" spans="1:11">
      <c r="A723" s="1" t="s">
        <v>742</v>
      </c>
      <c r="B723" s="1" t="s">
        <v>12</v>
      </c>
      <c r="C723" s="1" t="s">
        <v>22</v>
      </c>
      <c r="D723" s="10">
        <v>3156</v>
      </c>
      <c r="E723" s="10">
        <v>3283</v>
      </c>
      <c r="F723" s="4">
        <v>75</v>
      </c>
      <c r="G723" s="2">
        <v>45428</v>
      </c>
      <c r="H723" s="21">
        <f t="shared" si="11"/>
        <v>45413</v>
      </c>
      <c r="I723" s="26">
        <v>45433</v>
      </c>
      <c r="J723" s="3">
        <v>12.45</v>
      </c>
      <c r="K723" s="10">
        <f>Table2[[#This Row],[Order Quantity]]*Table2[[#This Row],[Price per Unit]]</f>
        <v>39292.199999999997</v>
      </c>
    </row>
    <row r="724" spans="1:11">
      <c r="A724" s="1" t="s">
        <v>743</v>
      </c>
      <c r="B724" s="1" t="s">
        <v>27</v>
      </c>
      <c r="C724" s="1" t="s">
        <v>22</v>
      </c>
      <c r="D724" s="10">
        <v>3459</v>
      </c>
      <c r="E724" s="10">
        <v>3481</v>
      </c>
      <c r="F724" s="4">
        <v>101</v>
      </c>
      <c r="G724" s="2">
        <v>45528</v>
      </c>
      <c r="H724" s="21">
        <f t="shared" si="11"/>
        <v>45505</v>
      </c>
      <c r="I724" s="26">
        <v>45528</v>
      </c>
      <c r="J724" s="3">
        <v>11.83</v>
      </c>
      <c r="K724" s="10">
        <f>Table2[[#This Row],[Order Quantity]]*Table2[[#This Row],[Price per Unit]]</f>
        <v>40919.97</v>
      </c>
    </row>
    <row r="725" spans="1:11">
      <c r="A725" s="1" t="s">
        <v>744</v>
      </c>
      <c r="B725" s="1" t="s">
        <v>18</v>
      </c>
      <c r="C725" s="1" t="s">
        <v>45</v>
      </c>
      <c r="D725" s="10">
        <v>1773</v>
      </c>
      <c r="E725" s="10">
        <v>1597</v>
      </c>
      <c r="F725" s="4">
        <v>22</v>
      </c>
      <c r="G725" s="2">
        <v>45651</v>
      </c>
      <c r="H725" s="21">
        <f t="shared" si="11"/>
        <v>45627</v>
      </c>
      <c r="I725" s="26">
        <v>45651</v>
      </c>
      <c r="J725" s="3">
        <v>23.1</v>
      </c>
      <c r="K725" s="10">
        <f>Table2[[#This Row],[Order Quantity]]*Table2[[#This Row],[Price per Unit]]</f>
        <v>40956.300000000003</v>
      </c>
    </row>
    <row r="726" spans="1:11">
      <c r="A726" s="1" t="s">
        <v>745</v>
      </c>
      <c r="B726" s="1" t="s">
        <v>27</v>
      </c>
      <c r="C726" s="1" t="s">
        <v>22</v>
      </c>
      <c r="D726" s="10">
        <v>4747</v>
      </c>
      <c r="E726" s="10">
        <v>4854</v>
      </c>
      <c r="F726" s="4">
        <v>305</v>
      </c>
      <c r="G726" s="2">
        <v>45562</v>
      </c>
      <c r="H726" s="21">
        <f t="shared" si="11"/>
        <v>45536</v>
      </c>
      <c r="I726" s="26">
        <v>45562</v>
      </c>
      <c r="J726" s="3">
        <v>6.11</v>
      </c>
      <c r="K726" s="10">
        <f>Table2[[#This Row],[Order Quantity]]*Table2[[#This Row],[Price per Unit]]</f>
        <v>29004.170000000002</v>
      </c>
    </row>
    <row r="727" spans="1:11">
      <c r="A727" s="1" t="s">
        <v>746</v>
      </c>
      <c r="B727" s="1" t="s">
        <v>25</v>
      </c>
      <c r="C727" s="1" t="s">
        <v>22</v>
      </c>
      <c r="D727" s="10">
        <v>4700</v>
      </c>
      <c r="E727" s="10">
        <v>4697</v>
      </c>
      <c r="F727" s="4">
        <v>182</v>
      </c>
      <c r="G727" s="2">
        <v>45642</v>
      </c>
      <c r="H727" s="21">
        <f t="shared" si="11"/>
        <v>45627</v>
      </c>
      <c r="I727" s="26">
        <v>45642</v>
      </c>
      <c r="J727" s="3">
        <v>13.05</v>
      </c>
      <c r="K727" s="10">
        <f>Table2[[#This Row],[Order Quantity]]*Table2[[#This Row],[Price per Unit]]</f>
        <v>61335</v>
      </c>
    </row>
    <row r="728" spans="1:11">
      <c r="A728" s="1" t="s">
        <v>747</v>
      </c>
      <c r="B728" s="1" t="s">
        <v>15</v>
      </c>
      <c r="C728" s="1" t="s">
        <v>20</v>
      </c>
      <c r="D728" s="10">
        <v>4735</v>
      </c>
      <c r="E728" s="10">
        <v>4907</v>
      </c>
      <c r="F728" s="4">
        <v>156</v>
      </c>
      <c r="G728" s="2">
        <v>45420</v>
      </c>
      <c r="H728" s="21">
        <f t="shared" si="11"/>
        <v>45413</v>
      </c>
      <c r="I728" s="26">
        <v>45423</v>
      </c>
      <c r="J728" s="3">
        <v>18.82</v>
      </c>
      <c r="K728" s="10">
        <f>Table2[[#This Row],[Order Quantity]]*Table2[[#This Row],[Price per Unit]]</f>
        <v>89112.7</v>
      </c>
    </row>
    <row r="729" spans="1:11">
      <c r="A729" s="1" t="s">
        <v>748</v>
      </c>
      <c r="B729" s="1" t="s">
        <v>27</v>
      </c>
      <c r="C729" s="1" t="s">
        <v>45</v>
      </c>
      <c r="D729" s="10">
        <v>4172</v>
      </c>
      <c r="E729" s="10">
        <v>4211</v>
      </c>
      <c r="F729" s="4">
        <v>319</v>
      </c>
      <c r="G729" s="2">
        <v>45631</v>
      </c>
      <c r="H729" s="21">
        <f t="shared" si="11"/>
        <v>45627</v>
      </c>
      <c r="I729" s="26">
        <v>45631</v>
      </c>
      <c r="J729" s="3">
        <v>17.079999999999998</v>
      </c>
      <c r="K729" s="10">
        <f>Table2[[#This Row],[Order Quantity]]*Table2[[#This Row],[Price per Unit]]</f>
        <v>71257.759999999995</v>
      </c>
    </row>
    <row r="730" spans="1:11">
      <c r="A730" s="1" t="s">
        <v>749</v>
      </c>
      <c r="B730" s="1" t="s">
        <v>25</v>
      </c>
      <c r="C730" s="1" t="s">
        <v>22</v>
      </c>
      <c r="D730" s="10">
        <v>1127</v>
      </c>
      <c r="E730" s="10">
        <v>1034</v>
      </c>
      <c r="F730" s="4">
        <v>63</v>
      </c>
      <c r="G730" s="2">
        <v>45585</v>
      </c>
      <c r="H730" s="21">
        <f t="shared" si="11"/>
        <v>45566</v>
      </c>
      <c r="I730" s="26">
        <v>45587</v>
      </c>
      <c r="J730" s="3">
        <v>15.63</v>
      </c>
      <c r="K730" s="10">
        <f>Table2[[#This Row],[Order Quantity]]*Table2[[#This Row],[Price per Unit]]</f>
        <v>17615.010000000002</v>
      </c>
    </row>
    <row r="731" spans="1:11">
      <c r="A731" s="1" t="s">
        <v>750</v>
      </c>
      <c r="B731" s="1" t="s">
        <v>25</v>
      </c>
      <c r="C731" s="1" t="s">
        <v>13</v>
      </c>
      <c r="D731" s="10">
        <v>3714</v>
      </c>
      <c r="E731" s="10">
        <v>3871</v>
      </c>
      <c r="F731" s="4">
        <v>75</v>
      </c>
      <c r="G731" s="2">
        <v>45316</v>
      </c>
      <c r="H731" s="21">
        <f t="shared" si="11"/>
        <v>45292</v>
      </c>
      <c r="I731" s="26">
        <v>45318</v>
      </c>
      <c r="J731" s="3">
        <v>19.68</v>
      </c>
      <c r="K731" s="10">
        <f>Table2[[#This Row],[Order Quantity]]*Table2[[#This Row],[Price per Unit]]</f>
        <v>73091.520000000004</v>
      </c>
    </row>
    <row r="732" spans="1:11">
      <c r="A732" s="1" t="s">
        <v>751</v>
      </c>
      <c r="B732" s="1" t="s">
        <v>15</v>
      </c>
      <c r="C732" s="1" t="s">
        <v>45</v>
      </c>
      <c r="D732" s="10">
        <v>1483</v>
      </c>
      <c r="E732" s="10">
        <v>1360</v>
      </c>
      <c r="F732" s="4">
        <v>65</v>
      </c>
      <c r="G732" s="2">
        <v>45403</v>
      </c>
      <c r="H732" s="21">
        <f t="shared" si="11"/>
        <v>45383</v>
      </c>
      <c r="I732" s="26">
        <v>45404</v>
      </c>
      <c r="J732" s="3">
        <v>23.05</v>
      </c>
      <c r="K732" s="10">
        <f>Table2[[#This Row],[Order Quantity]]*Table2[[#This Row],[Price per Unit]]</f>
        <v>34183.15</v>
      </c>
    </row>
    <row r="733" spans="1:11">
      <c r="A733" s="1" t="s">
        <v>752</v>
      </c>
      <c r="B733" s="1" t="s">
        <v>18</v>
      </c>
      <c r="C733" s="1" t="s">
        <v>20</v>
      </c>
      <c r="D733" s="10">
        <v>1826</v>
      </c>
      <c r="E733" s="10">
        <v>1647</v>
      </c>
      <c r="F733" s="4">
        <v>83</v>
      </c>
      <c r="G733" s="2">
        <v>45518</v>
      </c>
      <c r="H733" s="21">
        <f t="shared" si="11"/>
        <v>45505</v>
      </c>
      <c r="I733" s="26">
        <v>45521</v>
      </c>
      <c r="J733" s="3">
        <v>7.12</v>
      </c>
      <c r="K733" s="10">
        <f>Table2[[#This Row],[Order Quantity]]*Table2[[#This Row],[Price per Unit]]</f>
        <v>13001.12</v>
      </c>
    </row>
    <row r="734" spans="1:11">
      <c r="A734" s="1" t="s">
        <v>753</v>
      </c>
      <c r="B734" s="1" t="s">
        <v>15</v>
      </c>
      <c r="C734" s="1" t="s">
        <v>45</v>
      </c>
      <c r="D734" s="10">
        <v>2186</v>
      </c>
      <c r="E734" s="10">
        <v>2196</v>
      </c>
      <c r="F734" s="4">
        <v>85</v>
      </c>
      <c r="G734" s="2">
        <v>45471</v>
      </c>
      <c r="H734" s="21">
        <f t="shared" si="11"/>
        <v>45444</v>
      </c>
      <c r="I734" s="26">
        <v>45471</v>
      </c>
      <c r="J734" s="3">
        <v>16.21</v>
      </c>
      <c r="K734" s="10">
        <f>Table2[[#This Row],[Order Quantity]]*Table2[[#This Row],[Price per Unit]]</f>
        <v>35435.060000000005</v>
      </c>
    </row>
    <row r="735" spans="1:11">
      <c r="A735" s="1" t="s">
        <v>754</v>
      </c>
      <c r="B735" s="1" t="s">
        <v>18</v>
      </c>
      <c r="C735" s="1" t="s">
        <v>22</v>
      </c>
      <c r="D735" s="10">
        <v>4283</v>
      </c>
      <c r="E735" s="10">
        <v>4385</v>
      </c>
      <c r="F735" s="4">
        <v>289</v>
      </c>
      <c r="G735" s="2">
        <v>45528</v>
      </c>
      <c r="H735" s="21">
        <f t="shared" si="11"/>
        <v>45505</v>
      </c>
      <c r="I735" s="26">
        <v>45530</v>
      </c>
      <c r="J735" s="3">
        <v>7.09</v>
      </c>
      <c r="K735" s="10">
        <f>Table2[[#This Row],[Order Quantity]]*Table2[[#This Row],[Price per Unit]]</f>
        <v>30366.47</v>
      </c>
    </row>
    <row r="736" spans="1:11">
      <c r="A736" s="1" t="s">
        <v>755</v>
      </c>
      <c r="B736" s="1" t="s">
        <v>12</v>
      </c>
      <c r="C736" s="1" t="s">
        <v>22</v>
      </c>
      <c r="D736" s="10">
        <v>810</v>
      </c>
      <c r="E736" s="10">
        <v>772</v>
      </c>
      <c r="F736" s="4">
        <v>12</v>
      </c>
      <c r="G736" s="2">
        <v>45488</v>
      </c>
      <c r="H736" s="21">
        <f t="shared" si="11"/>
        <v>45474</v>
      </c>
      <c r="I736" s="26">
        <v>45488</v>
      </c>
      <c r="J736" s="3">
        <v>16.7</v>
      </c>
      <c r="K736" s="10">
        <f>Table2[[#This Row],[Order Quantity]]*Table2[[#This Row],[Price per Unit]]</f>
        <v>13527</v>
      </c>
    </row>
    <row r="737" spans="1:11">
      <c r="A737" s="1" t="s">
        <v>756</v>
      </c>
      <c r="B737" s="1" t="s">
        <v>18</v>
      </c>
      <c r="C737" s="1" t="s">
        <v>20</v>
      </c>
      <c r="D737" s="10">
        <v>3299</v>
      </c>
      <c r="E737" s="10">
        <v>3356</v>
      </c>
      <c r="F737" s="4">
        <v>197</v>
      </c>
      <c r="G737" s="2">
        <v>45558</v>
      </c>
      <c r="H737" s="21">
        <f t="shared" si="11"/>
        <v>45536</v>
      </c>
      <c r="I737" s="26">
        <v>45559</v>
      </c>
      <c r="J737" s="3">
        <v>17.34</v>
      </c>
      <c r="K737" s="10">
        <f>Table2[[#This Row],[Order Quantity]]*Table2[[#This Row],[Price per Unit]]</f>
        <v>57204.659999999996</v>
      </c>
    </row>
    <row r="738" spans="1:11">
      <c r="A738" s="1" t="s">
        <v>757</v>
      </c>
      <c r="B738" s="1" t="s">
        <v>27</v>
      </c>
      <c r="C738" s="1" t="s">
        <v>45</v>
      </c>
      <c r="D738" s="10">
        <v>4506</v>
      </c>
      <c r="E738" s="10">
        <v>4172</v>
      </c>
      <c r="F738" s="4">
        <v>207</v>
      </c>
      <c r="G738" s="2">
        <v>45511</v>
      </c>
      <c r="H738" s="21">
        <f t="shared" si="11"/>
        <v>45505</v>
      </c>
      <c r="I738" s="26">
        <v>45511</v>
      </c>
      <c r="J738" s="3">
        <v>10.93</v>
      </c>
      <c r="K738" s="10">
        <f>Table2[[#This Row],[Order Quantity]]*Table2[[#This Row],[Price per Unit]]</f>
        <v>49250.58</v>
      </c>
    </row>
    <row r="739" spans="1:11">
      <c r="A739" s="1" t="s">
        <v>758</v>
      </c>
      <c r="B739" s="1" t="s">
        <v>25</v>
      </c>
      <c r="C739" s="1" t="s">
        <v>13</v>
      </c>
      <c r="D739" s="10">
        <v>3004</v>
      </c>
      <c r="E739" s="10">
        <v>2717</v>
      </c>
      <c r="F739" s="4">
        <v>175</v>
      </c>
      <c r="G739" s="2">
        <v>45453</v>
      </c>
      <c r="H739" s="21">
        <f t="shared" si="11"/>
        <v>45444</v>
      </c>
      <c r="I739" s="26">
        <v>45458</v>
      </c>
      <c r="J739" s="3">
        <v>9.8000000000000007</v>
      </c>
      <c r="K739" s="10">
        <f>Table2[[#This Row],[Order Quantity]]*Table2[[#This Row],[Price per Unit]]</f>
        <v>29439.200000000001</v>
      </c>
    </row>
    <row r="740" spans="1:11">
      <c r="A740" s="1" t="s">
        <v>759</v>
      </c>
      <c r="B740" s="1" t="s">
        <v>15</v>
      </c>
      <c r="C740" s="1" t="s">
        <v>45</v>
      </c>
      <c r="D740" s="10">
        <v>2087</v>
      </c>
      <c r="E740" s="10">
        <v>1886</v>
      </c>
      <c r="F740" s="4">
        <v>87</v>
      </c>
      <c r="G740" s="2">
        <v>45392</v>
      </c>
      <c r="H740" s="21">
        <f t="shared" si="11"/>
        <v>45383</v>
      </c>
      <c r="I740" s="26">
        <v>45397</v>
      </c>
      <c r="J740" s="3">
        <v>9.3699999999999992</v>
      </c>
      <c r="K740" s="10">
        <f>Table2[[#This Row],[Order Quantity]]*Table2[[#This Row],[Price per Unit]]</f>
        <v>19555.189999999999</v>
      </c>
    </row>
    <row r="741" spans="1:11">
      <c r="A741" s="1" t="s">
        <v>760</v>
      </c>
      <c r="B741" s="1" t="s">
        <v>25</v>
      </c>
      <c r="C741" s="1" t="s">
        <v>13</v>
      </c>
      <c r="D741" s="10">
        <v>2932</v>
      </c>
      <c r="E741" s="10">
        <v>2750</v>
      </c>
      <c r="F741" s="4">
        <v>138</v>
      </c>
      <c r="G741" s="2">
        <v>45626</v>
      </c>
      <c r="H741" s="21">
        <f t="shared" si="11"/>
        <v>45597</v>
      </c>
      <c r="I741" s="26">
        <v>45626</v>
      </c>
      <c r="J741" s="3">
        <v>12.18</v>
      </c>
      <c r="K741" s="10">
        <f>Table2[[#This Row],[Order Quantity]]*Table2[[#This Row],[Price per Unit]]</f>
        <v>35711.760000000002</v>
      </c>
    </row>
    <row r="742" spans="1:11">
      <c r="A742" s="1" t="s">
        <v>761</v>
      </c>
      <c r="B742" s="1" t="s">
        <v>15</v>
      </c>
      <c r="C742" s="1" t="s">
        <v>45</v>
      </c>
      <c r="D742" s="10">
        <v>4617</v>
      </c>
      <c r="E742" s="10">
        <v>4485</v>
      </c>
      <c r="F742" s="4">
        <v>154</v>
      </c>
      <c r="G742" s="2">
        <v>45466</v>
      </c>
      <c r="H742" s="21">
        <f t="shared" si="11"/>
        <v>45444</v>
      </c>
      <c r="I742" s="26">
        <v>45466</v>
      </c>
      <c r="J742" s="3">
        <v>12.25</v>
      </c>
      <c r="K742" s="10">
        <f>Table2[[#This Row],[Order Quantity]]*Table2[[#This Row],[Price per Unit]]</f>
        <v>56558.25</v>
      </c>
    </row>
    <row r="743" spans="1:11">
      <c r="A743" s="1" t="s">
        <v>762</v>
      </c>
      <c r="B743" s="1" t="s">
        <v>25</v>
      </c>
      <c r="C743" s="1" t="s">
        <v>16</v>
      </c>
      <c r="D743" s="10">
        <v>2537</v>
      </c>
      <c r="E743" s="10">
        <v>2362</v>
      </c>
      <c r="F743" s="4">
        <v>37</v>
      </c>
      <c r="G743" s="2">
        <v>45369</v>
      </c>
      <c r="H743" s="21">
        <f t="shared" si="11"/>
        <v>45352</v>
      </c>
      <c r="I743" s="26">
        <v>45371</v>
      </c>
      <c r="J743" s="3">
        <v>14.33</v>
      </c>
      <c r="K743" s="10">
        <f>Table2[[#This Row],[Order Quantity]]*Table2[[#This Row],[Price per Unit]]</f>
        <v>36355.21</v>
      </c>
    </row>
    <row r="744" spans="1:11">
      <c r="A744" s="1" t="s">
        <v>763</v>
      </c>
      <c r="B744" s="1" t="s">
        <v>18</v>
      </c>
      <c r="C744" s="1" t="s">
        <v>16</v>
      </c>
      <c r="D744" s="10">
        <v>3321</v>
      </c>
      <c r="E744" s="10">
        <v>3270</v>
      </c>
      <c r="F744" s="4">
        <v>74</v>
      </c>
      <c r="G744" s="2">
        <v>45434</v>
      </c>
      <c r="H744" s="21">
        <f t="shared" si="11"/>
        <v>45413</v>
      </c>
      <c r="I744" s="26">
        <v>45437</v>
      </c>
      <c r="J744" s="3">
        <v>7.79</v>
      </c>
      <c r="K744" s="10">
        <f>Table2[[#This Row],[Order Quantity]]*Table2[[#This Row],[Price per Unit]]</f>
        <v>25870.59</v>
      </c>
    </row>
    <row r="745" spans="1:11">
      <c r="A745" s="1" t="s">
        <v>764</v>
      </c>
      <c r="B745" s="1" t="s">
        <v>15</v>
      </c>
      <c r="C745" s="1" t="s">
        <v>20</v>
      </c>
      <c r="D745" s="10">
        <v>4080</v>
      </c>
      <c r="E745" s="10">
        <v>3907</v>
      </c>
      <c r="F745" s="4">
        <v>164</v>
      </c>
      <c r="G745" s="2">
        <v>45454</v>
      </c>
      <c r="H745" s="21">
        <f t="shared" si="11"/>
        <v>45444</v>
      </c>
      <c r="I745" s="26">
        <v>45455</v>
      </c>
      <c r="J745" s="3">
        <v>11.07</v>
      </c>
      <c r="K745" s="10">
        <f>Table2[[#This Row],[Order Quantity]]*Table2[[#This Row],[Price per Unit]]</f>
        <v>45165.599999999999</v>
      </c>
    </row>
    <row r="746" spans="1:11">
      <c r="A746" s="1" t="s">
        <v>765</v>
      </c>
      <c r="B746" s="1" t="s">
        <v>15</v>
      </c>
      <c r="C746" s="1" t="s">
        <v>16</v>
      </c>
      <c r="D746" s="10">
        <v>4601</v>
      </c>
      <c r="E746" s="10">
        <v>4609</v>
      </c>
      <c r="F746" s="4">
        <v>70</v>
      </c>
      <c r="G746" s="2">
        <v>45317</v>
      </c>
      <c r="H746" s="21">
        <f t="shared" si="11"/>
        <v>45292</v>
      </c>
      <c r="I746" s="26">
        <v>45322</v>
      </c>
      <c r="J746" s="3">
        <v>13.42</v>
      </c>
      <c r="K746" s="10">
        <f>Table2[[#This Row],[Order Quantity]]*Table2[[#This Row],[Price per Unit]]</f>
        <v>61745.42</v>
      </c>
    </row>
    <row r="747" spans="1:11">
      <c r="A747" s="1" t="s">
        <v>766</v>
      </c>
      <c r="B747" s="1" t="s">
        <v>27</v>
      </c>
      <c r="C747" s="1" t="s">
        <v>13</v>
      </c>
      <c r="D747" s="10">
        <v>3576</v>
      </c>
      <c r="E747" s="10">
        <v>3385</v>
      </c>
      <c r="F747" s="4">
        <v>93</v>
      </c>
      <c r="G747" s="2">
        <v>45533</v>
      </c>
      <c r="H747" s="21">
        <f t="shared" si="11"/>
        <v>45505</v>
      </c>
      <c r="I747" s="26">
        <v>45533</v>
      </c>
      <c r="J747" s="3">
        <v>18.079999999999998</v>
      </c>
      <c r="K747" s="10">
        <f>Table2[[#This Row],[Order Quantity]]*Table2[[#This Row],[Price per Unit]]</f>
        <v>64654.079999999994</v>
      </c>
    </row>
    <row r="748" spans="1:11">
      <c r="A748" s="1" t="s">
        <v>767</v>
      </c>
      <c r="B748" s="1" t="s">
        <v>12</v>
      </c>
      <c r="C748" s="1" t="s">
        <v>22</v>
      </c>
      <c r="D748" s="10">
        <v>1911</v>
      </c>
      <c r="E748" s="10">
        <v>1881</v>
      </c>
      <c r="F748" s="4">
        <v>112</v>
      </c>
      <c r="G748" s="2">
        <v>45335</v>
      </c>
      <c r="H748" s="21">
        <f t="shared" si="11"/>
        <v>45323</v>
      </c>
      <c r="I748" s="26">
        <v>45340</v>
      </c>
      <c r="J748" s="3">
        <v>6.37</v>
      </c>
      <c r="K748" s="10">
        <f>Table2[[#This Row],[Order Quantity]]*Table2[[#This Row],[Price per Unit]]</f>
        <v>12173.07</v>
      </c>
    </row>
    <row r="749" spans="1:11">
      <c r="A749" s="1" t="s">
        <v>768</v>
      </c>
      <c r="B749" s="1" t="s">
        <v>27</v>
      </c>
      <c r="C749" s="1" t="s">
        <v>45</v>
      </c>
      <c r="D749" s="10">
        <v>4614</v>
      </c>
      <c r="E749" s="10">
        <v>4687</v>
      </c>
      <c r="F749" s="4">
        <v>61</v>
      </c>
      <c r="G749" s="2">
        <v>45391</v>
      </c>
      <c r="H749" s="21">
        <f t="shared" si="11"/>
        <v>45383</v>
      </c>
      <c r="I749" s="26">
        <v>45391</v>
      </c>
      <c r="J749" s="3">
        <v>18.87</v>
      </c>
      <c r="K749" s="10">
        <f>Table2[[#This Row],[Order Quantity]]*Table2[[#This Row],[Price per Unit]]</f>
        <v>87066.180000000008</v>
      </c>
    </row>
    <row r="750" spans="1:11">
      <c r="A750" s="1" t="s">
        <v>769</v>
      </c>
      <c r="B750" s="1" t="s">
        <v>12</v>
      </c>
      <c r="C750" s="1" t="s">
        <v>22</v>
      </c>
      <c r="D750" s="10">
        <v>2591</v>
      </c>
      <c r="E750" s="10">
        <v>2648</v>
      </c>
      <c r="F750" s="4">
        <v>139</v>
      </c>
      <c r="G750" s="2">
        <v>45654</v>
      </c>
      <c r="H750" s="21">
        <f t="shared" si="11"/>
        <v>45627</v>
      </c>
      <c r="I750" s="26">
        <v>45654</v>
      </c>
      <c r="J750" s="3">
        <v>12.47</v>
      </c>
      <c r="K750" s="10">
        <f>Table2[[#This Row],[Order Quantity]]*Table2[[#This Row],[Price per Unit]]</f>
        <v>32309.77</v>
      </c>
    </row>
    <row r="751" spans="1:11">
      <c r="A751" s="1" t="s">
        <v>770</v>
      </c>
      <c r="B751" s="1" t="s">
        <v>25</v>
      </c>
      <c r="C751" s="1" t="s">
        <v>22</v>
      </c>
      <c r="D751" s="10">
        <v>2902</v>
      </c>
      <c r="E751" s="10">
        <v>2766</v>
      </c>
      <c r="F751" s="4">
        <v>107</v>
      </c>
      <c r="G751" s="2">
        <v>45530</v>
      </c>
      <c r="H751" s="21">
        <f t="shared" si="11"/>
        <v>45505</v>
      </c>
      <c r="I751" s="26">
        <v>45533</v>
      </c>
      <c r="J751" s="3">
        <v>18.52</v>
      </c>
      <c r="K751" s="10">
        <f>Table2[[#This Row],[Order Quantity]]*Table2[[#This Row],[Price per Unit]]</f>
        <v>53745.04</v>
      </c>
    </row>
    <row r="752" spans="1:11">
      <c r="A752" s="1" t="s">
        <v>771</v>
      </c>
      <c r="B752" s="1" t="s">
        <v>25</v>
      </c>
      <c r="C752" s="1" t="s">
        <v>20</v>
      </c>
      <c r="D752" s="10">
        <v>4407</v>
      </c>
      <c r="E752" s="10">
        <v>4334</v>
      </c>
      <c r="F752" s="4">
        <v>52</v>
      </c>
      <c r="G752" s="2">
        <v>45637</v>
      </c>
      <c r="H752" s="21">
        <f t="shared" si="11"/>
        <v>45627</v>
      </c>
      <c r="I752" s="26">
        <v>45638</v>
      </c>
      <c r="J752" s="3">
        <v>23.14</v>
      </c>
      <c r="K752" s="10">
        <f>Table2[[#This Row],[Order Quantity]]*Table2[[#This Row],[Price per Unit]]</f>
        <v>101977.98</v>
      </c>
    </row>
    <row r="753" spans="1:11">
      <c r="A753" s="1" t="s">
        <v>772</v>
      </c>
      <c r="B753" s="1" t="s">
        <v>25</v>
      </c>
      <c r="C753" s="1" t="s">
        <v>22</v>
      </c>
      <c r="D753" s="10">
        <v>2784</v>
      </c>
      <c r="E753" s="10">
        <v>2802</v>
      </c>
      <c r="F753" s="4">
        <v>46</v>
      </c>
      <c r="G753" s="2">
        <v>45562</v>
      </c>
      <c r="H753" s="21">
        <f t="shared" si="11"/>
        <v>45536</v>
      </c>
      <c r="I753" s="26">
        <v>45562</v>
      </c>
      <c r="J753" s="3">
        <v>11.35</v>
      </c>
      <c r="K753" s="10">
        <f>Table2[[#This Row],[Order Quantity]]*Table2[[#This Row],[Price per Unit]]</f>
        <v>31598.399999999998</v>
      </c>
    </row>
    <row r="754" spans="1:11">
      <c r="A754" s="1" t="s">
        <v>773</v>
      </c>
      <c r="B754" s="1" t="s">
        <v>27</v>
      </c>
      <c r="C754" s="1" t="s">
        <v>22</v>
      </c>
      <c r="D754" s="10">
        <v>2706</v>
      </c>
      <c r="E754" s="10">
        <v>2824</v>
      </c>
      <c r="F754" s="4">
        <v>71</v>
      </c>
      <c r="G754" s="2">
        <v>45655</v>
      </c>
      <c r="H754" s="21">
        <f t="shared" si="11"/>
        <v>45627</v>
      </c>
      <c r="I754" s="26">
        <v>45655</v>
      </c>
      <c r="J754" s="3">
        <v>22.72</v>
      </c>
      <c r="K754" s="10">
        <f>Table2[[#This Row],[Order Quantity]]*Table2[[#This Row],[Price per Unit]]</f>
        <v>61480.32</v>
      </c>
    </row>
    <row r="755" spans="1:11">
      <c r="A755" s="1" t="s">
        <v>774</v>
      </c>
      <c r="B755" s="1" t="s">
        <v>18</v>
      </c>
      <c r="C755" s="1" t="s">
        <v>22</v>
      </c>
      <c r="D755" s="10">
        <v>4698</v>
      </c>
      <c r="E755" s="10">
        <v>4675</v>
      </c>
      <c r="F755" s="4">
        <v>252</v>
      </c>
      <c r="G755" s="2">
        <v>45521</v>
      </c>
      <c r="H755" s="21">
        <f t="shared" si="11"/>
        <v>45505</v>
      </c>
      <c r="I755" s="26">
        <v>45521</v>
      </c>
      <c r="J755" s="3">
        <v>13.06</v>
      </c>
      <c r="K755" s="10">
        <f>Table2[[#This Row],[Order Quantity]]*Table2[[#This Row],[Price per Unit]]</f>
        <v>61355.880000000005</v>
      </c>
    </row>
    <row r="756" spans="1:11">
      <c r="A756" s="1" t="s">
        <v>775</v>
      </c>
      <c r="B756" s="1" t="s">
        <v>25</v>
      </c>
      <c r="C756" s="1" t="s">
        <v>22</v>
      </c>
      <c r="D756" s="10">
        <v>3280</v>
      </c>
      <c r="E756" s="10">
        <v>3147</v>
      </c>
      <c r="F756" s="4">
        <v>129</v>
      </c>
      <c r="G756" s="2">
        <v>45442</v>
      </c>
      <c r="H756" s="21">
        <f t="shared" si="11"/>
        <v>45444</v>
      </c>
      <c r="I756" s="26">
        <v>45444</v>
      </c>
      <c r="J756" s="3">
        <v>22.87</v>
      </c>
      <c r="K756" s="10">
        <f>Table2[[#This Row],[Order Quantity]]*Table2[[#This Row],[Price per Unit]]</f>
        <v>75013.600000000006</v>
      </c>
    </row>
    <row r="757" spans="1:11">
      <c r="A757" s="1" t="s">
        <v>776</v>
      </c>
      <c r="B757" s="1" t="s">
        <v>18</v>
      </c>
      <c r="C757" s="1" t="s">
        <v>16</v>
      </c>
      <c r="D757" s="10">
        <v>2897</v>
      </c>
      <c r="E757" s="10">
        <v>2842</v>
      </c>
      <c r="F757" s="4">
        <v>196</v>
      </c>
      <c r="G757" s="2">
        <v>45295</v>
      </c>
      <c r="H757" s="21">
        <f t="shared" si="11"/>
        <v>45292</v>
      </c>
      <c r="I757" s="26">
        <v>45297</v>
      </c>
      <c r="J757" s="3">
        <v>13.63</v>
      </c>
      <c r="K757" s="10">
        <f>Table2[[#This Row],[Order Quantity]]*Table2[[#This Row],[Price per Unit]]</f>
        <v>39486.11</v>
      </c>
    </row>
    <row r="758" spans="1:11">
      <c r="A758" s="1" t="s">
        <v>777</v>
      </c>
      <c r="B758" s="1" t="s">
        <v>15</v>
      </c>
      <c r="C758" s="1" t="s">
        <v>45</v>
      </c>
      <c r="D758" s="10">
        <v>3466</v>
      </c>
      <c r="E758" s="10">
        <v>3379</v>
      </c>
      <c r="F758" s="4">
        <v>136</v>
      </c>
      <c r="G758" s="2">
        <v>45387</v>
      </c>
      <c r="H758" s="21">
        <f t="shared" si="11"/>
        <v>45383</v>
      </c>
      <c r="I758" s="26">
        <v>45387</v>
      </c>
      <c r="J758" s="3">
        <v>9.99</v>
      </c>
      <c r="K758" s="10">
        <f>Table2[[#This Row],[Order Quantity]]*Table2[[#This Row],[Price per Unit]]</f>
        <v>34625.340000000004</v>
      </c>
    </row>
    <row r="759" spans="1:11">
      <c r="A759" s="1" t="s">
        <v>778</v>
      </c>
      <c r="B759" s="1" t="s">
        <v>25</v>
      </c>
      <c r="C759" s="1" t="s">
        <v>16</v>
      </c>
      <c r="D759" s="10">
        <v>2264</v>
      </c>
      <c r="E759" s="10">
        <v>2343</v>
      </c>
      <c r="F759" s="4">
        <v>58</v>
      </c>
      <c r="G759" s="2">
        <v>45614</v>
      </c>
      <c r="H759" s="21">
        <f t="shared" si="11"/>
        <v>45597</v>
      </c>
      <c r="I759" s="26">
        <v>45614</v>
      </c>
      <c r="J759" s="3">
        <v>22.69</v>
      </c>
      <c r="K759" s="10">
        <f>Table2[[#This Row],[Order Quantity]]*Table2[[#This Row],[Price per Unit]]</f>
        <v>51370.16</v>
      </c>
    </row>
    <row r="760" spans="1:11">
      <c r="A760" s="1" t="s">
        <v>779</v>
      </c>
      <c r="B760" s="1" t="s">
        <v>15</v>
      </c>
      <c r="C760" s="1" t="s">
        <v>20</v>
      </c>
      <c r="D760" s="10">
        <v>4222</v>
      </c>
      <c r="E760" s="10">
        <v>4251</v>
      </c>
      <c r="F760" s="4">
        <v>249</v>
      </c>
      <c r="G760" s="2">
        <v>45628</v>
      </c>
      <c r="H760" s="21">
        <f t="shared" si="11"/>
        <v>45627</v>
      </c>
      <c r="I760" s="26">
        <v>45628</v>
      </c>
      <c r="J760" s="3">
        <v>11.49</v>
      </c>
      <c r="K760" s="10">
        <f>Table2[[#This Row],[Order Quantity]]*Table2[[#This Row],[Price per Unit]]</f>
        <v>48510.78</v>
      </c>
    </row>
    <row r="761" spans="1:11">
      <c r="A761" s="1" t="s">
        <v>780</v>
      </c>
      <c r="B761" s="1" t="s">
        <v>25</v>
      </c>
      <c r="C761" s="1" t="s">
        <v>20</v>
      </c>
      <c r="D761" s="10">
        <v>1478</v>
      </c>
      <c r="E761" s="10">
        <v>1406</v>
      </c>
      <c r="F761" s="4">
        <v>80</v>
      </c>
      <c r="G761" s="2">
        <v>45313</v>
      </c>
      <c r="H761" s="21">
        <f t="shared" si="11"/>
        <v>45292</v>
      </c>
      <c r="I761" s="26">
        <v>45313</v>
      </c>
      <c r="J761" s="3">
        <v>21.11</v>
      </c>
      <c r="K761" s="10">
        <f>Table2[[#This Row],[Order Quantity]]*Table2[[#This Row],[Price per Unit]]</f>
        <v>31200.579999999998</v>
      </c>
    </row>
    <row r="762" spans="1:11">
      <c r="A762" s="1" t="s">
        <v>781</v>
      </c>
      <c r="B762" s="1" t="s">
        <v>12</v>
      </c>
      <c r="C762" s="1" t="s">
        <v>16</v>
      </c>
      <c r="D762" s="10">
        <v>4551</v>
      </c>
      <c r="E762" s="10">
        <v>4356</v>
      </c>
      <c r="F762" s="4">
        <v>232</v>
      </c>
      <c r="G762" s="2">
        <v>45294</v>
      </c>
      <c r="H762" s="21">
        <f t="shared" si="11"/>
        <v>45292</v>
      </c>
      <c r="I762" s="26">
        <v>45294</v>
      </c>
      <c r="J762" s="3">
        <v>14.09</v>
      </c>
      <c r="K762" s="10">
        <f>Table2[[#This Row],[Order Quantity]]*Table2[[#This Row],[Price per Unit]]</f>
        <v>64123.59</v>
      </c>
    </row>
    <row r="763" spans="1:11">
      <c r="A763" s="1" t="s">
        <v>782</v>
      </c>
      <c r="B763" s="1" t="s">
        <v>15</v>
      </c>
      <c r="C763" s="1" t="s">
        <v>16</v>
      </c>
      <c r="D763" s="10">
        <v>2623</v>
      </c>
      <c r="E763" s="10">
        <v>2620</v>
      </c>
      <c r="F763" s="4">
        <v>152</v>
      </c>
      <c r="G763" s="2">
        <v>45524</v>
      </c>
      <c r="H763" s="21">
        <f t="shared" si="11"/>
        <v>45505</v>
      </c>
      <c r="I763" s="26">
        <v>45524</v>
      </c>
      <c r="J763" s="3">
        <v>7.41</v>
      </c>
      <c r="K763" s="10">
        <f>Table2[[#This Row],[Order Quantity]]*Table2[[#This Row],[Price per Unit]]</f>
        <v>19436.43</v>
      </c>
    </row>
    <row r="764" spans="1:11">
      <c r="A764" s="1" t="s">
        <v>783</v>
      </c>
      <c r="B764" s="1" t="s">
        <v>25</v>
      </c>
      <c r="C764" s="1" t="s">
        <v>22</v>
      </c>
      <c r="D764" s="10">
        <v>2314</v>
      </c>
      <c r="E764" s="10">
        <v>2105</v>
      </c>
      <c r="F764" s="4">
        <v>151</v>
      </c>
      <c r="G764" s="2">
        <v>45547</v>
      </c>
      <c r="H764" s="21">
        <f t="shared" si="11"/>
        <v>45536</v>
      </c>
      <c r="I764" s="26">
        <v>45552</v>
      </c>
      <c r="J764" s="3">
        <v>13.4</v>
      </c>
      <c r="K764" s="10">
        <f>Table2[[#This Row],[Order Quantity]]*Table2[[#This Row],[Price per Unit]]</f>
        <v>31007.600000000002</v>
      </c>
    </row>
    <row r="765" spans="1:11">
      <c r="A765" s="1" t="s">
        <v>784</v>
      </c>
      <c r="B765" s="1" t="s">
        <v>25</v>
      </c>
      <c r="C765" s="1" t="s">
        <v>13</v>
      </c>
      <c r="D765" s="10">
        <v>4625</v>
      </c>
      <c r="E765" s="10">
        <v>4701</v>
      </c>
      <c r="F765" s="4">
        <v>89</v>
      </c>
      <c r="G765" s="2">
        <v>45316</v>
      </c>
      <c r="H765" s="21">
        <f t="shared" si="11"/>
        <v>45292</v>
      </c>
      <c r="I765" s="26">
        <v>45316</v>
      </c>
      <c r="J765" s="3">
        <v>16.309999999999999</v>
      </c>
      <c r="K765" s="10">
        <f>Table2[[#This Row],[Order Quantity]]*Table2[[#This Row],[Price per Unit]]</f>
        <v>75433.75</v>
      </c>
    </row>
    <row r="766" spans="1:11">
      <c r="A766" s="1" t="s">
        <v>785</v>
      </c>
      <c r="B766" s="1" t="s">
        <v>15</v>
      </c>
      <c r="C766" s="1" t="s">
        <v>22</v>
      </c>
      <c r="D766" s="10">
        <v>1217</v>
      </c>
      <c r="E766" s="10">
        <v>1227</v>
      </c>
      <c r="F766" s="4">
        <v>71</v>
      </c>
      <c r="G766" s="2">
        <v>45418</v>
      </c>
      <c r="H766" s="21">
        <f t="shared" si="11"/>
        <v>45413</v>
      </c>
      <c r="I766" s="26">
        <v>45418</v>
      </c>
      <c r="J766" s="3">
        <v>11.81</v>
      </c>
      <c r="K766" s="10">
        <f>Table2[[#This Row],[Order Quantity]]*Table2[[#This Row],[Price per Unit]]</f>
        <v>14372.77</v>
      </c>
    </row>
    <row r="767" spans="1:11">
      <c r="A767" s="1" t="s">
        <v>786</v>
      </c>
      <c r="B767" s="1" t="s">
        <v>15</v>
      </c>
      <c r="C767" s="1" t="s">
        <v>22</v>
      </c>
      <c r="D767" s="10">
        <v>1548</v>
      </c>
      <c r="E767" s="10">
        <v>1546</v>
      </c>
      <c r="F767" s="4">
        <v>80</v>
      </c>
      <c r="G767" s="2">
        <v>45390</v>
      </c>
      <c r="H767" s="21">
        <f t="shared" si="11"/>
        <v>45383</v>
      </c>
      <c r="I767" s="26">
        <v>45390</v>
      </c>
      <c r="J767" s="3">
        <v>8.26</v>
      </c>
      <c r="K767" s="10">
        <f>Table2[[#This Row],[Order Quantity]]*Table2[[#This Row],[Price per Unit]]</f>
        <v>12786.48</v>
      </c>
    </row>
    <row r="768" spans="1:11">
      <c r="A768" s="1" t="s">
        <v>787</v>
      </c>
      <c r="B768" s="1" t="s">
        <v>25</v>
      </c>
      <c r="C768" s="1" t="s">
        <v>13</v>
      </c>
      <c r="D768" s="10">
        <v>2120</v>
      </c>
      <c r="E768" s="10">
        <v>2173</v>
      </c>
      <c r="F768" s="4">
        <v>169</v>
      </c>
      <c r="G768" s="2">
        <v>45355</v>
      </c>
      <c r="H768" s="21">
        <f t="shared" si="11"/>
        <v>45352</v>
      </c>
      <c r="I768" s="26">
        <v>45355</v>
      </c>
      <c r="J768" s="3">
        <v>7.71</v>
      </c>
      <c r="K768" s="10">
        <f>Table2[[#This Row],[Order Quantity]]*Table2[[#This Row],[Price per Unit]]</f>
        <v>16345.2</v>
      </c>
    </row>
    <row r="769" spans="1:11">
      <c r="A769" s="1" t="s">
        <v>788</v>
      </c>
      <c r="B769" s="1" t="s">
        <v>27</v>
      </c>
      <c r="C769" s="1" t="s">
        <v>22</v>
      </c>
      <c r="D769" s="10">
        <v>1477</v>
      </c>
      <c r="E769" s="10">
        <v>1340</v>
      </c>
      <c r="F769" s="4">
        <v>17</v>
      </c>
      <c r="G769" s="2">
        <v>45309</v>
      </c>
      <c r="H769" s="21">
        <f t="shared" si="11"/>
        <v>45292</v>
      </c>
      <c r="I769" s="26">
        <v>45309</v>
      </c>
      <c r="J769" s="3">
        <v>16.48</v>
      </c>
      <c r="K769" s="10">
        <f>Table2[[#This Row],[Order Quantity]]*Table2[[#This Row],[Price per Unit]]</f>
        <v>24340.959999999999</v>
      </c>
    </row>
    <row r="770" spans="1:11">
      <c r="A770" s="1" t="s">
        <v>789</v>
      </c>
      <c r="B770" s="1" t="s">
        <v>15</v>
      </c>
      <c r="C770" s="1" t="s">
        <v>16</v>
      </c>
      <c r="D770" s="10">
        <v>1512</v>
      </c>
      <c r="E770" s="10">
        <v>1526</v>
      </c>
      <c r="F770" s="4">
        <v>116</v>
      </c>
      <c r="G770" s="2">
        <v>45530</v>
      </c>
      <c r="H770" s="21">
        <f t="shared" ref="H770:H833" si="12">DATE(YEAR(I770), MONTH(I770), 1)</f>
        <v>45536</v>
      </c>
      <c r="I770" s="26">
        <v>45537</v>
      </c>
      <c r="J770" s="3">
        <v>20.63</v>
      </c>
      <c r="K770" s="10">
        <f>Table2[[#This Row],[Order Quantity]]*Table2[[#This Row],[Price per Unit]]</f>
        <v>31192.559999999998</v>
      </c>
    </row>
    <row r="771" spans="1:11">
      <c r="A771" s="1" t="s">
        <v>790</v>
      </c>
      <c r="B771" s="1" t="s">
        <v>12</v>
      </c>
      <c r="C771" s="1" t="s">
        <v>20</v>
      </c>
      <c r="D771" s="10">
        <v>2845</v>
      </c>
      <c r="E771" s="10">
        <v>2811</v>
      </c>
      <c r="F771" s="4">
        <v>106</v>
      </c>
      <c r="G771" s="2">
        <v>45421</v>
      </c>
      <c r="H771" s="21">
        <f t="shared" si="12"/>
        <v>45413</v>
      </c>
      <c r="I771" s="26">
        <v>45421</v>
      </c>
      <c r="J771" s="3">
        <v>24.48</v>
      </c>
      <c r="K771" s="10">
        <f>Table2[[#This Row],[Order Quantity]]*Table2[[#This Row],[Price per Unit]]</f>
        <v>69645.600000000006</v>
      </c>
    </row>
    <row r="772" spans="1:11">
      <c r="A772" s="1" t="s">
        <v>791</v>
      </c>
      <c r="B772" s="1" t="s">
        <v>12</v>
      </c>
      <c r="C772" s="1" t="s">
        <v>45</v>
      </c>
      <c r="D772" s="10">
        <v>2830</v>
      </c>
      <c r="E772" s="10">
        <v>2787</v>
      </c>
      <c r="F772" s="4">
        <v>174</v>
      </c>
      <c r="G772" s="2">
        <v>45354</v>
      </c>
      <c r="H772" s="21">
        <f t="shared" si="12"/>
        <v>45352</v>
      </c>
      <c r="I772" s="26">
        <v>45361</v>
      </c>
      <c r="J772" s="3">
        <v>7.64</v>
      </c>
      <c r="K772" s="10">
        <f>Table2[[#This Row],[Order Quantity]]*Table2[[#This Row],[Price per Unit]]</f>
        <v>21621.200000000001</v>
      </c>
    </row>
    <row r="773" spans="1:11">
      <c r="A773" s="1" t="s">
        <v>792</v>
      </c>
      <c r="B773" s="1" t="s">
        <v>12</v>
      </c>
      <c r="C773" s="1" t="s">
        <v>22</v>
      </c>
      <c r="D773" s="10">
        <v>2559</v>
      </c>
      <c r="E773" s="10">
        <v>2460</v>
      </c>
      <c r="F773" s="4">
        <v>52</v>
      </c>
      <c r="G773" s="2">
        <v>45583</v>
      </c>
      <c r="H773" s="21">
        <f t="shared" si="12"/>
        <v>45566</v>
      </c>
      <c r="I773" s="26">
        <v>45585</v>
      </c>
      <c r="J773" s="3">
        <v>9.44</v>
      </c>
      <c r="K773" s="10">
        <f>Table2[[#This Row],[Order Quantity]]*Table2[[#This Row],[Price per Unit]]</f>
        <v>24156.959999999999</v>
      </c>
    </row>
    <row r="774" spans="1:11">
      <c r="A774" s="1" t="s">
        <v>793</v>
      </c>
      <c r="B774" s="1" t="s">
        <v>12</v>
      </c>
      <c r="C774" s="1" t="s">
        <v>22</v>
      </c>
      <c r="D774" s="10">
        <v>1019</v>
      </c>
      <c r="E774" s="10">
        <v>1059</v>
      </c>
      <c r="F774" s="4">
        <v>17</v>
      </c>
      <c r="G774" s="2">
        <v>45640</v>
      </c>
      <c r="H774" s="21">
        <f t="shared" si="12"/>
        <v>45627</v>
      </c>
      <c r="I774" s="26">
        <v>45645</v>
      </c>
      <c r="J774" s="3">
        <v>14</v>
      </c>
      <c r="K774" s="10">
        <f>Table2[[#This Row],[Order Quantity]]*Table2[[#This Row],[Price per Unit]]</f>
        <v>14266</v>
      </c>
    </row>
    <row r="775" spans="1:11">
      <c r="A775" s="1" t="s">
        <v>794</v>
      </c>
      <c r="B775" s="1" t="s">
        <v>25</v>
      </c>
      <c r="C775" s="1" t="s">
        <v>22</v>
      </c>
      <c r="D775" s="10">
        <v>4671</v>
      </c>
      <c r="E775" s="10">
        <v>4405</v>
      </c>
      <c r="F775" s="4">
        <v>130</v>
      </c>
      <c r="G775" s="2">
        <v>45362</v>
      </c>
      <c r="H775" s="21">
        <f t="shared" si="12"/>
        <v>45352</v>
      </c>
      <c r="I775" s="26">
        <v>45364</v>
      </c>
      <c r="J775" s="3">
        <v>11.64</v>
      </c>
      <c r="K775" s="10">
        <f>Table2[[#This Row],[Order Quantity]]*Table2[[#This Row],[Price per Unit]]</f>
        <v>54370.44</v>
      </c>
    </row>
    <row r="776" spans="1:11">
      <c r="A776" s="1" t="s">
        <v>795</v>
      </c>
      <c r="B776" s="1" t="s">
        <v>12</v>
      </c>
      <c r="C776" s="1" t="s">
        <v>20</v>
      </c>
      <c r="D776" s="10">
        <v>3695</v>
      </c>
      <c r="E776" s="10">
        <v>3746</v>
      </c>
      <c r="F776" s="4">
        <v>228</v>
      </c>
      <c r="G776" s="2">
        <v>45566</v>
      </c>
      <c r="H776" s="21">
        <f t="shared" si="12"/>
        <v>45566</v>
      </c>
      <c r="I776" s="26">
        <v>45568</v>
      </c>
      <c r="J776" s="3">
        <v>14.69</v>
      </c>
      <c r="K776" s="10">
        <f>Table2[[#This Row],[Order Quantity]]*Table2[[#This Row],[Price per Unit]]</f>
        <v>54279.549999999996</v>
      </c>
    </row>
    <row r="777" spans="1:11">
      <c r="A777" s="1" t="s">
        <v>796</v>
      </c>
      <c r="B777" s="1" t="s">
        <v>15</v>
      </c>
      <c r="C777" s="1" t="s">
        <v>20</v>
      </c>
      <c r="D777" s="10">
        <v>3592</v>
      </c>
      <c r="E777" s="10">
        <v>3666</v>
      </c>
      <c r="F777" s="4">
        <v>231</v>
      </c>
      <c r="G777" s="2">
        <v>45439</v>
      </c>
      <c r="H777" s="21">
        <f t="shared" si="12"/>
        <v>45413</v>
      </c>
      <c r="I777" s="26">
        <v>45439</v>
      </c>
      <c r="J777" s="3">
        <v>8.08</v>
      </c>
      <c r="K777" s="10">
        <f>Table2[[#This Row],[Order Quantity]]*Table2[[#This Row],[Price per Unit]]</f>
        <v>29023.360000000001</v>
      </c>
    </row>
    <row r="778" spans="1:11">
      <c r="A778" s="1" t="s">
        <v>797</v>
      </c>
      <c r="B778" s="1" t="s">
        <v>27</v>
      </c>
      <c r="C778" s="1" t="s">
        <v>16</v>
      </c>
      <c r="D778" s="10">
        <v>1687</v>
      </c>
      <c r="E778" s="10">
        <v>1621</v>
      </c>
      <c r="F778" s="4">
        <v>30</v>
      </c>
      <c r="G778" s="2">
        <v>45647</v>
      </c>
      <c r="H778" s="21">
        <f t="shared" si="12"/>
        <v>45627</v>
      </c>
      <c r="I778" s="26">
        <v>45650</v>
      </c>
      <c r="J778" s="3">
        <v>8.43</v>
      </c>
      <c r="K778" s="10">
        <f>Table2[[#This Row],[Order Quantity]]*Table2[[#This Row],[Price per Unit]]</f>
        <v>14221.41</v>
      </c>
    </row>
    <row r="779" spans="1:11">
      <c r="A779" s="1" t="s">
        <v>798</v>
      </c>
      <c r="B779" s="1" t="s">
        <v>12</v>
      </c>
      <c r="C779" s="1" t="s">
        <v>45</v>
      </c>
      <c r="D779" s="10">
        <v>544</v>
      </c>
      <c r="E779" s="10">
        <v>517</v>
      </c>
      <c r="F779" s="4">
        <v>34</v>
      </c>
      <c r="G779" s="2">
        <v>45512</v>
      </c>
      <c r="H779" s="21">
        <f t="shared" si="12"/>
        <v>45505</v>
      </c>
      <c r="I779" s="26">
        <v>45513</v>
      </c>
      <c r="J779" s="3">
        <v>9.93</v>
      </c>
      <c r="K779" s="10">
        <f>Table2[[#This Row],[Order Quantity]]*Table2[[#This Row],[Price per Unit]]</f>
        <v>5401.92</v>
      </c>
    </row>
    <row r="780" spans="1:11">
      <c r="A780" s="1" t="s">
        <v>799</v>
      </c>
      <c r="B780" s="1" t="s">
        <v>15</v>
      </c>
      <c r="C780" s="1" t="s">
        <v>16</v>
      </c>
      <c r="D780" s="10">
        <v>3081</v>
      </c>
      <c r="E780" s="10">
        <v>2928</v>
      </c>
      <c r="F780" s="4">
        <v>93</v>
      </c>
      <c r="G780" s="2">
        <v>45329</v>
      </c>
      <c r="H780" s="21">
        <f t="shared" si="12"/>
        <v>45323</v>
      </c>
      <c r="I780" s="26">
        <v>45332</v>
      </c>
      <c r="J780" s="3">
        <v>7.44</v>
      </c>
      <c r="K780" s="10">
        <f>Table2[[#This Row],[Order Quantity]]*Table2[[#This Row],[Price per Unit]]</f>
        <v>22922.639999999999</v>
      </c>
    </row>
    <row r="781" spans="1:11">
      <c r="A781" s="1" t="s">
        <v>800</v>
      </c>
      <c r="B781" s="1" t="s">
        <v>12</v>
      </c>
      <c r="C781" s="1" t="s">
        <v>45</v>
      </c>
      <c r="D781" s="10">
        <v>3906</v>
      </c>
      <c r="E781" s="10">
        <v>3999</v>
      </c>
      <c r="F781" s="4">
        <v>228</v>
      </c>
      <c r="G781" s="2">
        <v>45629</v>
      </c>
      <c r="H781" s="21">
        <f t="shared" si="12"/>
        <v>45627</v>
      </c>
      <c r="I781" s="26">
        <v>45631</v>
      </c>
      <c r="J781" s="3">
        <v>21.49</v>
      </c>
      <c r="K781" s="10">
        <f>Table2[[#This Row],[Order Quantity]]*Table2[[#This Row],[Price per Unit]]</f>
        <v>83939.939999999988</v>
      </c>
    </row>
    <row r="782" spans="1:11">
      <c r="A782" s="1" t="s">
        <v>801</v>
      </c>
      <c r="B782" s="1" t="s">
        <v>12</v>
      </c>
      <c r="C782" s="1" t="s">
        <v>16</v>
      </c>
      <c r="D782" s="10">
        <v>1415</v>
      </c>
      <c r="E782" s="10">
        <v>1412</v>
      </c>
      <c r="F782" s="4">
        <v>67</v>
      </c>
      <c r="G782" s="2">
        <v>45615</v>
      </c>
      <c r="H782" s="21">
        <f t="shared" si="12"/>
        <v>45597</v>
      </c>
      <c r="I782" s="26">
        <v>45617</v>
      </c>
      <c r="J782" s="3">
        <v>6.64</v>
      </c>
      <c r="K782" s="10">
        <f>Table2[[#This Row],[Order Quantity]]*Table2[[#This Row],[Price per Unit]]</f>
        <v>9395.6</v>
      </c>
    </row>
    <row r="783" spans="1:11">
      <c r="A783" s="1" t="s">
        <v>802</v>
      </c>
      <c r="B783" s="1" t="s">
        <v>27</v>
      </c>
      <c r="C783" s="1" t="s">
        <v>20</v>
      </c>
      <c r="D783" s="10">
        <v>3871</v>
      </c>
      <c r="E783" s="10">
        <v>3531</v>
      </c>
      <c r="F783" s="4">
        <v>280</v>
      </c>
      <c r="G783" s="2">
        <v>45426</v>
      </c>
      <c r="H783" s="21">
        <f t="shared" si="12"/>
        <v>45413</v>
      </c>
      <c r="I783" s="26">
        <v>45427</v>
      </c>
      <c r="J783" s="3">
        <v>8.1199999999999992</v>
      </c>
      <c r="K783" s="10">
        <f>Table2[[#This Row],[Order Quantity]]*Table2[[#This Row],[Price per Unit]]</f>
        <v>31432.519999999997</v>
      </c>
    </row>
    <row r="784" spans="1:11">
      <c r="A784" s="1" t="s">
        <v>803</v>
      </c>
      <c r="B784" s="1" t="s">
        <v>18</v>
      </c>
      <c r="C784" s="1" t="s">
        <v>16</v>
      </c>
      <c r="D784" s="10">
        <v>1670</v>
      </c>
      <c r="E784" s="10">
        <v>1545</v>
      </c>
      <c r="F784" s="4">
        <v>53</v>
      </c>
      <c r="G784" s="2">
        <v>45632</v>
      </c>
      <c r="H784" s="21">
        <f t="shared" si="12"/>
        <v>45627</v>
      </c>
      <c r="I784" s="26">
        <v>45634</v>
      </c>
      <c r="J784" s="3">
        <v>20.23</v>
      </c>
      <c r="K784" s="10">
        <f>Table2[[#This Row],[Order Quantity]]*Table2[[#This Row],[Price per Unit]]</f>
        <v>33784.1</v>
      </c>
    </row>
    <row r="785" spans="1:11">
      <c r="A785" s="1" t="s">
        <v>804</v>
      </c>
      <c r="B785" s="1" t="s">
        <v>12</v>
      </c>
      <c r="C785" s="1" t="s">
        <v>45</v>
      </c>
      <c r="D785" s="10">
        <v>2962</v>
      </c>
      <c r="E785" s="10">
        <v>2794</v>
      </c>
      <c r="F785" s="4">
        <v>119</v>
      </c>
      <c r="G785" s="2">
        <v>45429</v>
      </c>
      <c r="H785" s="21">
        <f t="shared" si="12"/>
        <v>45413</v>
      </c>
      <c r="I785" s="26">
        <v>45429</v>
      </c>
      <c r="J785" s="3">
        <v>17.39</v>
      </c>
      <c r="K785" s="10">
        <f>Table2[[#This Row],[Order Quantity]]*Table2[[#This Row],[Price per Unit]]</f>
        <v>51509.18</v>
      </c>
    </row>
    <row r="786" spans="1:11">
      <c r="A786" s="1" t="s">
        <v>805</v>
      </c>
      <c r="B786" s="1" t="s">
        <v>25</v>
      </c>
      <c r="C786" s="1" t="s">
        <v>22</v>
      </c>
      <c r="D786" s="10">
        <v>2863</v>
      </c>
      <c r="E786" s="10">
        <v>2862</v>
      </c>
      <c r="F786" s="4">
        <v>128</v>
      </c>
      <c r="G786" s="2">
        <v>45536</v>
      </c>
      <c r="H786" s="21">
        <f t="shared" si="12"/>
        <v>45536</v>
      </c>
      <c r="I786" s="26">
        <v>45541</v>
      </c>
      <c r="J786" s="3">
        <v>17.899999999999999</v>
      </c>
      <c r="K786" s="10">
        <f>Table2[[#This Row],[Order Quantity]]*Table2[[#This Row],[Price per Unit]]</f>
        <v>51247.7</v>
      </c>
    </row>
    <row r="787" spans="1:11">
      <c r="A787" s="1" t="s">
        <v>806</v>
      </c>
      <c r="B787" s="1" t="s">
        <v>18</v>
      </c>
      <c r="C787" s="1" t="s">
        <v>22</v>
      </c>
      <c r="D787" s="10">
        <v>3678</v>
      </c>
      <c r="E787" s="10">
        <v>3464</v>
      </c>
      <c r="F787" s="4">
        <v>65</v>
      </c>
      <c r="G787" s="2">
        <v>45618</v>
      </c>
      <c r="H787" s="21">
        <f t="shared" si="12"/>
        <v>45597</v>
      </c>
      <c r="I787" s="26">
        <v>45618</v>
      </c>
      <c r="J787" s="3">
        <v>6.99</v>
      </c>
      <c r="K787" s="10">
        <f>Table2[[#This Row],[Order Quantity]]*Table2[[#This Row],[Price per Unit]]</f>
        <v>25709.22</v>
      </c>
    </row>
    <row r="788" spans="1:11">
      <c r="A788" s="1" t="s">
        <v>807</v>
      </c>
      <c r="B788" s="1" t="s">
        <v>27</v>
      </c>
      <c r="C788" s="1" t="s">
        <v>45</v>
      </c>
      <c r="D788" s="10">
        <v>4450</v>
      </c>
      <c r="E788" s="10">
        <v>4551</v>
      </c>
      <c r="F788" s="4">
        <v>58</v>
      </c>
      <c r="G788" s="2">
        <v>45639</v>
      </c>
      <c r="H788" s="21">
        <f t="shared" si="12"/>
        <v>45627</v>
      </c>
      <c r="I788" s="26">
        <v>45646</v>
      </c>
      <c r="J788" s="3">
        <v>22.8</v>
      </c>
      <c r="K788" s="10">
        <f>Table2[[#This Row],[Order Quantity]]*Table2[[#This Row],[Price per Unit]]</f>
        <v>101460</v>
      </c>
    </row>
    <row r="789" spans="1:11">
      <c r="A789" s="1" t="s">
        <v>808</v>
      </c>
      <c r="B789" s="1" t="s">
        <v>27</v>
      </c>
      <c r="C789" s="1" t="s">
        <v>20</v>
      </c>
      <c r="D789" s="10">
        <v>820</v>
      </c>
      <c r="E789" s="10">
        <v>818</v>
      </c>
      <c r="F789" s="4">
        <v>52</v>
      </c>
      <c r="G789" s="2">
        <v>45397</v>
      </c>
      <c r="H789" s="21">
        <f t="shared" si="12"/>
        <v>45383</v>
      </c>
      <c r="I789" s="26">
        <v>45404</v>
      </c>
      <c r="J789" s="3">
        <v>20.83</v>
      </c>
      <c r="K789" s="10">
        <f>Table2[[#This Row],[Order Quantity]]*Table2[[#This Row],[Price per Unit]]</f>
        <v>17080.599999999999</v>
      </c>
    </row>
    <row r="790" spans="1:11">
      <c r="A790" s="1" t="s">
        <v>809</v>
      </c>
      <c r="B790" s="1" t="s">
        <v>25</v>
      </c>
      <c r="C790" s="1" t="s">
        <v>16</v>
      </c>
      <c r="D790" s="10">
        <v>1631</v>
      </c>
      <c r="E790" s="10">
        <v>1482</v>
      </c>
      <c r="F790" s="4">
        <v>44</v>
      </c>
      <c r="G790" s="2">
        <v>45622</v>
      </c>
      <c r="H790" s="21">
        <f t="shared" si="12"/>
        <v>45597</v>
      </c>
      <c r="I790" s="26">
        <v>45624</v>
      </c>
      <c r="J790" s="3">
        <v>6.87</v>
      </c>
      <c r="K790" s="10">
        <f>Table2[[#This Row],[Order Quantity]]*Table2[[#This Row],[Price per Unit]]</f>
        <v>11204.97</v>
      </c>
    </row>
    <row r="791" spans="1:11">
      <c r="A791" s="1" t="s">
        <v>810</v>
      </c>
      <c r="B791" s="1" t="s">
        <v>25</v>
      </c>
      <c r="C791" s="1" t="s">
        <v>16</v>
      </c>
      <c r="D791" s="10">
        <v>511</v>
      </c>
      <c r="E791" s="10">
        <v>471</v>
      </c>
      <c r="F791" s="4">
        <v>34</v>
      </c>
      <c r="G791" s="2">
        <v>45596</v>
      </c>
      <c r="H791" s="21">
        <f t="shared" si="12"/>
        <v>45597</v>
      </c>
      <c r="I791" s="26">
        <v>45603</v>
      </c>
      <c r="J791" s="3">
        <v>23.88</v>
      </c>
      <c r="K791" s="10">
        <f>Table2[[#This Row],[Order Quantity]]*Table2[[#This Row],[Price per Unit]]</f>
        <v>12202.68</v>
      </c>
    </row>
    <row r="792" spans="1:11">
      <c r="A792" s="1" t="s">
        <v>811</v>
      </c>
      <c r="B792" s="1" t="s">
        <v>25</v>
      </c>
      <c r="C792" s="1" t="s">
        <v>16</v>
      </c>
      <c r="D792" s="10">
        <v>2577</v>
      </c>
      <c r="E792" s="10">
        <v>2465</v>
      </c>
      <c r="F792" s="4">
        <v>49</v>
      </c>
      <c r="G792" s="2">
        <v>45557</v>
      </c>
      <c r="H792" s="21">
        <f t="shared" si="12"/>
        <v>45536</v>
      </c>
      <c r="I792" s="26">
        <v>45558</v>
      </c>
      <c r="J792" s="3">
        <v>5.37</v>
      </c>
      <c r="K792" s="10">
        <f>Table2[[#This Row],[Order Quantity]]*Table2[[#This Row],[Price per Unit]]</f>
        <v>13838.49</v>
      </c>
    </row>
    <row r="793" spans="1:11">
      <c r="A793" s="1" t="s">
        <v>812</v>
      </c>
      <c r="B793" s="1" t="s">
        <v>15</v>
      </c>
      <c r="C793" s="1" t="s">
        <v>20</v>
      </c>
      <c r="D793" s="10">
        <v>797</v>
      </c>
      <c r="E793" s="10">
        <v>745</v>
      </c>
      <c r="F793" s="4">
        <v>40</v>
      </c>
      <c r="G793" s="2">
        <v>45333</v>
      </c>
      <c r="H793" s="21">
        <f t="shared" si="12"/>
        <v>45323</v>
      </c>
      <c r="I793" s="26">
        <v>45338</v>
      </c>
      <c r="J793" s="3">
        <v>19.940000000000001</v>
      </c>
      <c r="K793" s="10">
        <f>Table2[[#This Row],[Order Quantity]]*Table2[[#This Row],[Price per Unit]]</f>
        <v>15892.18</v>
      </c>
    </row>
    <row r="794" spans="1:11">
      <c r="A794" s="1" t="s">
        <v>813</v>
      </c>
      <c r="B794" s="1" t="s">
        <v>25</v>
      </c>
      <c r="C794" s="1" t="s">
        <v>16</v>
      </c>
      <c r="D794" s="10">
        <v>1769</v>
      </c>
      <c r="E794" s="10">
        <v>1626</v>
      </c>
      <c r="F794" s="4">
        <v>85</v>
      </c>
      <c r="G794" s="2">
        <v>45654</v>
      </c>
      <c r="H794" s="21">
        <f t="shared" si="12"/>
        <v>45627</v>
      </c>
      <c r="I794" s="26">
        <v>45654</v>
      </c>
      <c r="J794" s="3">
        <v>21.99</v>
      </c>
      <c r="K794" s="10">
        <f>Table2[[#This Row],[Order Quantity]]*Table2[[#This Row],[Price per Unit]]</f>
        <v>38900.31</v>
      </c>
    </row>
    <row r="795" spans="1:11">
      <c r="A795" s="1" t="s">
        <v>814</v>
      </c>
      <c r="B795" s="1" t="s">
        <v>18</v>
      </c>
      <c r="C795" s="1" t="s">
        <v>16</v>
      </c>
      <c r="D795" s="10">
        <v>4931</v>
      </c>
      <c r="E795" s="10">
        <v>4690</v>
      </c>
      <c r="F795" s="4">
        <v>204</v>
      </c>
      <c r="G795" s="2">
        <v>45364</v>
      </c>
      <c r="H795" s="21">
        <f t="shared" si="12"/>
        <v>45352</v>
      </c>
      <c r="I795" s="26">
        <v>45365</v>
      </c>
      <c r="J795" s="3">
        <v>23.58</v>
      </c>
      <c r="K795" s="10">
        <f>Table2[[#This Row],[Order Quantity]]*Table2[[#This Row],[Price per Unit]]</f>
        <v>116272.98</v>
      </c>
    </row>
    <row r="796" spans="1:11">
      <c r="A796" s="1" t="s">
        <v>815</v>
      </c>
      <c r="B796" s="1" t="s">
        <v>27</v>
      </c>
      <c r="C796" s="1" t="s">
        <v>13</v>
      </c>
      <c r="D796" s="10">
        <v>2381</v>
      </c>
      <c r="E796" s="10">
        <v>2147</v>
      </c>
      <c r="F796" s="4">
        <v>33</v>
      </c>
      <c r="G796" s="2">
        <v>45567</v>
      </c>
      <c r="H796" s="21">
        <f t="shared" si="12"/>
        <v>45566</v>
      </c>
      <c r="I796" s="26">
        <v>45572</v>
      </c>
      <c r="J796" s="3">
        <v>10.17</v>
      </c>
      <c r="K796" s="10">
        <f>Table2[[#This Row],[Order Quantity]]*Table2[[#This Row],[Price per Unit]]</f>
        <v>24214.77</v>
      </c>
    </row>
    <row r="797" spans="1:11">
      <c r="A797" s="1" t="s">
        <v>816</v>
      </c>
      <c r="B797" s="1" t="s">
        <v>27</v>
      </c>
      <c r="C797" s="1" t="s">
        <v>20</v>
      </c>
      <c r="D797" s="10">
        <v>4655</v>
      </c>
      <c r="E797" s="10">
        <v>4732</v>
      </c>
      <c r="F797" s="4">
        <v>270</v>
      </c>
      <c r="G797" s="2">
        <v>45450</v>
      </c>
      <c r="H797" s="21">
        <f t="shared" si="12"/>
        <v>45444</v>
      </c>
      <c r="I797" s="26">
        <v>45450</v>
      </c>
      <c r="J797" s="3">
        <v>19.489999999999998</v>
      </c>
      <c r="K797" s="10">
        <f>Table2[[#This Row],[Order Quantity]]*Table2[[#This Row],[Price per Unit]]</f>
        <v>90725.95</v>
      </c>
    </row>
    <row r="798" spans="1:11">
      <c r="A798" s="1" t="s">
        <v>817</v>
      </c>
      <c r="B798" s="1" t="s">
        <v>18</v>
      </c>
      <c r="C798" s="1" t="s">
        <v>16</v>
      </c>
      <c r="D798" s="10">
        <v>1026</v>
      </c>
      <c r="E798" s="10">
        <v>1060</v>
      </c>
      <c r="F798" s="4">
        <v>53</v>
      </c>
      <c r="G798" s="2">
        <v>45571</v>
      </c>
      <c r="H798" s="21">
        <f t="shared" si="12"/>
        <v>45566</v>
      </c>
      <c r="I798" s="26">
        <v>45573</v>
      </c>
      <c r="J798" s="3">
        <v>16.28</v>
      </c>
      <c r="K798" s="10">
        <f>Table2[[#This Row],[Order Quantity]]*Table2[[#This Row],[Price per Unit]]</f>
        <v>16703.280000000002</v>
      </c>
    </row>
    <row r="799" spans="1:11">
      <c r="A799" s="1" t="s">
        <v>818</v>
      </c>
      <c r="B799" s="1" t="s">
        <v>25</v>
      </c>
      <c r="C799" s="1" t="s">
        <v>45</v>
      </c>
      <c r="D799" s="10">
        <v>4477</v>
      </c>
      <c r="E799" s="10">
        <v>4396</v>
      </c>
      <c r="F799" s="4">
        <v>302</v>
      </c>
      <c r="G799" s="2">
        <v>45453</v>
      </c>
      <c r="H799" s="21">
        <f t="shared" si="12"/>
        <v>45444</v>
      </c>
      <c r="I799" s="26">
        <v>45460</v>
      </c>
      <c r="J799" s="3">
        <v>7.55</v>
      </c>
      <c r="K799" s="10">
        <f>Table2[[#This Row],[Order Quantity]]*Table2[[#This Row],[Price per Unit]]</f>
        <v>33801.35</v>
      </c>
    </row>
    <row r="800" spans="1:11">
      <c r="A800" s="1" t="s">
        <v>819</v>
      </c>
      <c r="B800" s="1" t="s">
        <v>18</v>
      </c>
      <c r="C800" s="1" t="s">
        <v>45</v>
      </c>
      <c r="D800" s="10">
        <v>2861</v>
      </c>
      <c r="E800" s="10">
        <v>2749</v>
      </c>
      <c r="F800" s="4">
        <v>55</v>
      </c>
      <c r="G800" s="2">
        <v>45313</v>
      </c>
      <c r="H800" s="21">
        <f t="shared" si="12"/>
        <v>45292</v>
      </c>
      <c r="I800" s="26">
        <v>45316</v>
      </c>
      <c r="J800" s="3">
        <v>19.29</v>
      </c>
      <c r="K800" s="10">
        <f>Table2[[#This Row],[Order Quantity]]*Table2[[#This Row],[Price per Unit]]</f>
        <v>55188.689999999995</v>
      </c>
    </row>
    <row r="801" spans="1:11">
      <c r="A801" s="1" t="s">
        <v>820</v>
      </c>
      <c r="B801" s="1" t="s">
        <v>15</v>
      </c>
      <c r="C801" s="1" t="s">
        <v>20</v>
      </c>
      <c r="D801" s="10">
        <v>3186</v>
      </c>
      <c r="E801" s="10">
        <v>3200</v>
      </c>
      <c r="F801" s="4">
        <v>233</v>
      </c>
      <c r="G801" s="2">
        <v>45455</v>
      </c>
      <c r="H801" s="21">
        <f t="shared" si="12"/>
        <v>45444</v>
      </c>
      <c r="I801" s="26">
        <v>45456</v>
      </c>
      <c r="J801" s="3">
        <v>20.84</v>
      </c>
      <c r="K801" s="10">
        <f>Table2[[#This Row],[Order Quantity]]*Table2[[#This Row],[Price per Unit]]</f>
        <v>66396.240000000005</v>
      </c>
    </row>
    <row r="802" spans="1:11">
      <c r="A802" s="1" t="s">
        <v>821</v>
      </c>
      <c r="B802" s="1" t="s">
        <v>25</v>
      </c>
      <c r="C802" s="1" t="s">
        <v>20</v>
      </c>
      <c r="D802" s="10">
        <v>694</v>
      </c>
      <c r="E802" s="10">
        <v>651</v>
      </c>
      <c r="F802" s="4">
        <v>40</v>
      </c>
      <c r="G802" s="2">
        <v>45440</v>
      </c>
      <c r="H802" s="21">
        <f t="shared" si="12"/>
        <v>45444</v>
      </c>
      <c r="I802" s="26">
        <v>45447</v>
      </c>
      <c r="J802" s="3">
        <v>6.63</v>
      </c>
      <c r="K802" s="10">
        <f>Table2[[#This Row],[Order Quantity]]*Table2[[#This Row],[Price per Unit]]</f>
        <v>4601.22</v>
      </c>
    </row>
    <row r="803" spans="1:11">
      <c r="A803" s="1" t="s">
        <v>822</v>
      </c>
      <c r="B803" s="1" t="s">
        <v>18</v>
      </c>
      <c r="C803" s="1" t="s">
        <v>16</v>
      </c>
      <c r="D803" s="10">
        <v>4314</v>
      </c>
      <c r="E803" s="10">
        <v>3893</v>
      </c>
      <c r="F803" s="4">
        <v>237</v>
      </c>
      <c r="G803" s="2">
        <v>45378</v>
      </c>
      <c r="H803" s="21">
        <f t="shared" si="12"/>
        <v>45352</v>
      </c>
      <c r="I803" s="26">
        <v>45381</v>
      </c>
      <c r="J803" s="3">
        <v>11.47</v>
      </c>
      <c r="K803" s="10">
        <f>Table2[[#This Row],[Order Quantity]]*Table2[[#This Row],[Price per Unit]]</f>
        <v>49481.58</v>
      </c>
    </row>
    <row r="804" spans="1:11">
      <c r="A804" s="1" t="s">
        <v>823</v>
      </c>
      <c r="B804" s="1" t="s">
        <v>15</v>
      </c>
      <c r="C804" s="1" t="s">
        <v>20</v>
      </c>
      <c r="D804" s="10">
        <v>2864</v>
      </c>
      <c r="E804" s="10">
        <v>2724</v>
      </c>
      <c r="F804" s="4">
        <v>52</v>
      </c>
      <c r="G804" s="2">
        <v>45460</v>
      </c>
      <c r="H804" s="21">
        <f t="shared" si="12"/>
        <v>45444</v>
      </c>
      <c r="I804" s="26">
        <v>45463</v>
      </c>
      <c r="J804" s="3">
        <v>6.89</v>
      </c>
      <c r="K804" s="10">
        <f>Table2[[#This Row],[Order Quantity]]*Table2[[#This Row],[Price per Unit]]</f>
        <v>19732.96</v>
      </c>
    </row>
    <row r="805" spans="1:11">
      <c r="A805" s="1" t="s">
        <v>824</v>
      </c>
      <c r="B805" s="1" t="s">
        <v>15</v>
      </c>
      <c r="C805" s="1" t="s">
        <v>20</v>
      </c>
      <c r="D805" s="10">
        <v>1109</v>
      </c>
      <c r="E805" s="10">
        <v>1051</v>
      </c>
      <c r="F805" s="4">
        <v>76</v>
      </c>
      <c r="G805" s="2">
        <v>45547</v>
      </c>
      <c r="H805" s="21">
        <f t="shared" si="12"/>
        <v>45536</v>
      </c>
      <c r="I805" s="26">
        <v>45547</v>
      </c>
      <c r="J805" s="3">
        <v>17.899999999999999</v>
      </c>
      <c r="K805" s="10">
        <f>Table2[[#This Row],[Order Quantity]]*Table2[[#This Row],[Price per Unit]]</f>
        <v>19851.099999999999</v>
      </c>
    </row>
    <row r="806" spans="1:11">
      <c r="A806" s="1" t="s">
        <v>825</v>
      </c>
      <c r="B806" s="1" t="s">
        <v>12</v>
      </c>
      <c r="C806" s="1" t="s">
        <v>16</v>
      </c>
      <c r="D806" s="10">
        <v>2753</v>
      </c>
      <c r="E806" s="10">
        <v>2526</v>
      </c>
      <c r="F806" s="4">
        <v>25</v>
      </c>
      <c r="G806" s="2">
        <v>45564</v>
      </c>
      <c r="H806" s="21">
        <f t="shared" si="12"/>
        <v>45536</v>
      </c>
      <c r="I806" s="26">
        <v>45565</v>
      </c>
      <c r="J806" s="3">
        <v>19.239999999999998</v>
      </c>
      <c r="K806" s="10">
        <f>Table2[[#This Row],[Order Quantity]]*Table2[[#This Row],[Price per Unit]]</f>
        <v>52967.719999999994</v>
      </c>
    </row>
    <row r="807" spans="1:11">
      <c r="A807" s="1" t="s">
        <v>826</v>
      </c>
      <c r="B807" s="1" t="s">
        <v>27</v>
      </c>
      <c r="C807" s="1" t="s">
        <v>16</v>
      </c>
      <c r="D807" s="10">
        <v>4678</v>
      </c>
      <c r="E807" s="10">
        <v>4314</v>
      </c>
      <c r="F807" s="4">
        <v>70</v>
      </c>
      <c r="G807" s="2">
        <v>45542</v>
      </c>
      <c r="H807" s="21">
        <f t="shared" si="12"/>
        <v>45536</v>
      </c>
      <c r="I807" s="26">
        <v>45543</v>
      </c>
      <c r="J807" s="3">
        <v>21.31</v>
      </c>
      <c r="K807" s="10">
        <f>Table2[[#This Row],[Order Quantity]]*Table2[[#This Row],[Price per Unit]]</f>
        <v>99688.18</v>
      </c>
    </row>
    <row r="808" spans="1:11">
      <c r="A808" s="1" t="s">
        <v>827</v>
      </c>
      <c r="B808" s="1" t="s">
        <v>15</v>
      </c>
      <c r="C808" s="1" t="s">
        <v>20</v>
      </c>
      <c r="D808" s="10">
        <v>2838</v>
      </c>
      <c r="E808" s="10">
        <v>2936</v>
      </c>
      <c r="F808" s="4">
        <v>143</v>
      </c>
      <c r="G808" s="2">
        <v>45386</v>
      </c>
      <c r="H808" s="21">
        <f t="shared" si="12"/>
        <v>45383</v>
      </c>
      <c r="I808" s="26">
        <v>45389</v>
      </c>
      <c r="J808" s="3">
        <v>21.25</v>
      </c>
      <c r="K808" s="10">
        <f>Table2[[#This Row],[Order Quantity]]*Table2[[#This Row],[Price per Unit]]</f>
        <v>60307.5</v>
      </c>
    </row>
    <row r="809" spans="1:11">
      <c r="A809" s="1" t="s">
        <v>828</v>
      </c>
      <c r="B809" s="1" t="s">
        <v>12</v>
      </c>
      <c r="C809" s="1" t="s">
        <v>16</v>
      </c>
      <c r="D809" s="10">
        <v>2485</v>
      </c>
      <c r="E809" s="10">
        <v>2462</v>
      </c>
      <c r="F809" s="4">
        <v>91</v>
      </c>
      <c r="G809" s="2">
        <v>45538</v>
      </c>
      <c r="H809" s="21">
        <f t="shared" si="12"/>
        <v>45536</v>
      </c>
      <c r="I809" s="26">
        <v>45538</v>
      </c>
      <c r="J809" s="3">
        <v>9.81</v>
      </c>
      <c r="K809" s="10">
        <f>Table2[[#This Row],[Order Quantity]]*Table2[[#This Row],[Price per Unit]]</f>
        <v>24377.850000000002</v>
      </c>
    </row>
    <row r="810" spans="1:11">
      <c r="A810" s="1" t="s">
        <v>829</v>
      </c>
      <c r="B810" s="1" t="s">
        <v>27</v>
      </c>
      <c r="C810" s="1" t="s">
        <v>45</v>
      </c>
      <c r="D810" s="10">
        <v>4578</v>
      </c>
      <c r="E810" s="10">
        <v>4790</v>
      </c>
      <c r="F810" s="4">
        <v>183</v>
      </c>
      <c r="G810" s="2">
        <v>45307</v>
      </c>
      <c r="H810" s="21">
        <f t="shared" si="12"/>
        <v>45292</v>
      </c>
      <c r="I810" s="26">
        <v>45307</v>
      </c>
      <c r="J810" s="3">
        <v>6.75</v>
      </c>
      <c r="K810" s="10">
        <f>Table2[[#This Row],[Order Quantity]]*Table2[[#This Row],[Price per Unit]]</f>
        <v>30901.5</v>
      </c>
    </row>
    <row r="811" spans="1:11">
      <c r="A811" s="1" t="s">
        <v>830</v>
      </c>
      <c r="B811" s="1" t="s">
        <v>25</v>
      </c>
      <c r="C811" s="1" t="s">
        <v>22</v>
      </c>
      <c r="D811" s="10">
        <v>4103</v>
      </c>
      <c r="E811" s="10">
        <v>4051</v>
      </c>
      <c r="F811" s="4">
        <v>270</v>
      </c>
      <c r="G811" s="2">
        <v>45402</v>
      </c>
      <c r="H811" s="21">
        <f t="shared" si="12"/>
        <v>45383</v>
      </c>
      <c r="I811" s="26">
        <v>45402</v>
      </c>
      <c r="J811" s="3">
        <v>11.54</v>
      </c>
      <c r="K811" s="10">
        <f>Table2[[#This Row],[Order Quantity]]*Table2[[#This Row],[Price per Unit]]</f>
        <v>47348.619999999995</v>
      </c>
    </row>
    <row r="812" spans="1:11">
      <c r="A812" s="1" t="s">
        <v>831</v>
      </c>
      <c r="B812" s="1" t="s">
        <v>27</v>
      </c>
      <c r="C812" s="1" t="s">
        <v>45</v>
      </c>
      <c r="D812" s="10">
        <v>4496</v>
      </c>
      <c r="E812" s="10">
        <v>4626</v>
      </c>
      <c r="F812" s="4">
        <v>238</v>
      </c>
      <c r="G812" s="2">
        <v>45452</v>
      </c>
      <c r="H812" s="21">
        <f t="shared" si="12"/>
        <v>45444</v>
      </c>
      <c r="I812" s="26">
        <v>45452</v>
      </c>
      <c r="J812" s="3">
        <v>18.89</v>
      </c>
      <c r="K812" s="10">
        <f>Table2[[#This Row],[Order Quantity]]*Table2[[#This Row],[Price per Unit]]</f>
        <v>84929.44</v>
      </c>
    </row>
    <row r="813" spans="1:11">
      <c r="A813" s="1" t="s">
        <v>832</v>
      </c>
      <c r="B813" s="1" t="s">
        <v>15</v>
      </c>
      <c r="C813" s="1" t="s">
        <v>20</v>
      </c>
      <c r="D813" s="10">
        <v>3256</v>
      </c>
      <c r="E813" s="10">
        <v>3212</v>
      </c>
      <c r="F813" s="4">
        <v>188</v>
      </c>
      <c r="G813" s="2">
        <v>45364</v>
      </c>
      <c r="H813" s="21">
        <f t="shared" si="12"/>
        <v>45352</v>
      </c>
      <c r="I813" s="26">
        <v>45369</v>
      </c>
      <c r="J813" s="3">
        <v>19.010000000000002</v>
      </c>
      <c r="K813" s="10">
        <f>Table2[[#This Row],[Order Quantity]]*Table2[[#This Row],[Price per Unit]]</f>
        <v>61896.560000000005</v>
      </c>
    </row>
    <row r="814" spans="1:11">
      <c r="A814" s="1" t="s">
        <v>833</v>
      </c>
      <c r="B814" s="1" t="s">
        <v>18</v>
      </c>
      <c r="C814" s="1" t="s">
        <v>45</v>
      </c>
      <c r="D814" s="10">
        <v>742</v>
      </c>
      <c r="E814" s="10">
        <v>723</v>
      </c>
      <c r="F814" s="4">
        <v>44</v>
      </c>
      <c r="G814" s="2">
        <v>45432</v>
      </c>
      <c r="H814" s="21">
        <f t="shared" si="12"/>
        <v>45413</v>
      </c>
      <c r="I814" s="26">
        <v>45434</v>
      </c>
      <c r="J814" s="3">
        <v>17.38</v>
      </c>
      <c r="K814" s="10">
        <f>Table2[[#This Row],[Order Quantity]]*Table2[[#This Row],[Price per Unit]]</f>
        <v>12895.96</v>
      </c>
    </row>
    <row r="815" spans="1:11">
      <c r="A815" s="1" t="s">
        <v>834</v>
      </c>
      <c r="B815" s="1" t="s">
        <v>12</v>
      </c>
      <c r="C815" s="1" t="s">
        <v>13</v>
      </c>
      <c r="D815" s="10">
        <v>4012</v>
      </c>
      <c r="E815" s="10">
        <v>3782</v>
      </c>
      <c r="F815" s="4">
        <v>155</v>
      </c>
      <c r="G815" s="2">
        <v>45633</v>
      </c>
      <c r="H815" s="21">
        <f t="shared" si="12"/>
        <v>45627</v>
      </c>
      <c r="I815" s="26">
        <v>45633</v>
      </c>
      <c r="J815" s="3">
        <v>17.34</v>
      </c>
      <c r="K815" s="10">
        <f>Table2[[#This Row],[Order Quantity]]*Table2[[#This Row],[Price per Unit]]</f>
        <v>69568.08</v>
      </c>
    </row>
    <row r="816" spans="1:11">
      <c r="A816" s="1" t="s">
        <v>835</v>
      </c>
      <c r="B816" s="1" t="s">
        <v>15</v>
      </c>
      <c r="C816" s="1" t="s">
        <v>45</v>
      </c>
      <c r="D816" s="10">
        <v>2758</v>
      </c>
      <c r="E816" s="10">
        <v>2575</v>
      </c>
      <c r="F816" s="4">
        <v>125</v>
      </c>
      <c r="G816" s="2">
        <v>45406</v>
      </c>
      <c r="H816" s="21">
        <f t="shared" si="12"/>
        <v>45383</v>
      </c>
      <c r="I816" s="26">
        <v>45406</v>
      </c>
      <c r="J816" s="3">
        <v>15.47</v>
      </c>
      <c r="K816" s="10">
        <f>Table2[[#This Row],[Order Quantity]]*Table2[[#This Row],[Price per Unit]]</f>
        <v>42666.26</v>
      </c>
    </row>
    <row r="817" spans="1:11">
      <c r="A817" s="1" t="s">
        <v>836</v>
      </c>
      <c r="B817" s="1" t="s">
        <v>18</v>
      </c>
      <c r="C817" s="1" t="s">
        <v>13</v>
      </c>
      <c r="D817" s="10">
        <v>4490</v>
      </c>
      <c r="E817" s="10">
        <v>4435</v>
      </c>
      <c r="F817" s="4">
        <v>212</v>
      </c>
      <c r="G817" s="2">
        <v>45502</v>
      </c>
      <c r="H817" s="21">
        <f t="shared" si="12"/>
        <v>45505</v>
      </c>
      <c r="I817" s="26">
        <v>45509</v>
      </c>
      <c r="J817" s="3">
        <v>6.72</v>
      </c>
      <c r="K817" s="10">
        <f>Table2[[#This Row],[Order Quantity]]*Table2[[#This Row],[Price per Unit]]</f>
        <v>30172.799999999999</v>
      </c>
    </row>
    <row r="818" spans="1:11">
      <c r="A818" s="1" t="s">
        <v>837</v>
      </c>
      <c r="B818" s="1" t="s">
        <v>25</v>
      </c>
      <c r="C818" s="1" t="s">
        <v>16</v>
      </c>
      <c r="D818" s="10">
        <v>4562</v>
      </c>
      <c r="E818" s="10">
        <v>4151</v>
      </c>
      <c r="F818" s="4">
        <v>55</v>
      </c>
      <c r="G818" s="2">
        <v>45302</v>
      </c>
      <c r="H818" s="21">
        <f t="shared" si="12"/>
        <v>45292</v>
      </c>
      <c r="I818" s="26">
        <v>45305</v>
      </c>
      <c r="J818" s="3">
        <v>10.91</v>
      </c>
      <c r="K818" s="10">
        <f>Table2[[#This Row],[Order Quantity]]*Table2[[#This Row],[Price per Unit]]</f>
        <v>49771.42</v>
      </c>
    </row>
    <row r="819" spans="1:11">
      <c r="A819" s="1" t="s">
        <v>838</v>
      </c>
      <c r="B819" s="1" t="s">
        <v>15</v>
      </c>
      <c r="C819" s="1" t="s">
        <v>16</v>
      </c>
      <c r="D819" s="10">
        <v>3157</v>
      </c>
      <c r="E819" s="10">
        <v>3077</v>
      </c>
      <c r="F819" s="4">
        <v>179</v>
      </c>
      <c r="G819" s="2">
        <v>45521</v>
      </c>
      <c r="H819" s="21">
        <f t="shared" si="12"/>
        <v>45505</v>
      </c>
      <c r="I819" s="26">
        <v>45521</v>
      </c>
      <c r="J819" s="3">
        <v>10.050000000000001</v>
      </c>
      <c r="K819" s="10">
        <f>Table2[[#This Row],[Order Quantity]]*Table2[[#This Row],[Price per Unit]]</f>
        <v>31727.850000000002</v>
      </c>
    </row>
    <row r="820" spans="1:11">
      <c r="A820" s="1" t="s">
        <v>839</v>
      </c>
      <c r="B820" s="1" t="s">
        <v>15</v>
      </c>
      <c r="C820" s="1" t="s">
        <v>13</v>
      </c>
      <c r="D820" s="10">
        <v>1743</v>
      </c>
      <c r="E820" s="10">
        <v>1803</v>
      </c>
      <c r="F820" s="4">
        <v>120</v>
      </c>
      <c r="G820" s="2">
        <v>45554</v>
      </c>
      <c r="H820" s="21">
        <f t="shared" si="12"/>
        <v>45536</v>
      </c>
      <c r="I820" s="26">
        <v>45554</v>
      </c>
      <c r="J820" s="3">
        <v>16.66</v>
      </c>
      <c r="K820" s="10">
        <f>Table2[[#This Row],[Order Quantity]]*Table2[[#This Row],[Price per Unit]]</f>
        <v>29038.38</v>
      </c>
    </row>
    <row r="821" spans="1:11">
      <c r="A821" s="1" t="s">
        <v>840</v>
      </c>
      <c r="B821" s="1" t="s">
        <v>18</v>
      </c>
      <c r="C821" s="1" t="s">
        <v>13</v>
      </c>
      <c r="D821" s="10">
        <v>3888</v>
      </c>
      <c r="E821" s="10">
        <v>4080</v>
      </c>
      <c r="F821" s="4">
        <v>240</v>
      </c>
      <c r="G821" s="2">
        <v>45431</v>
      </c>
      <c r="H821" s="21">
        <f t="shared" si="12"/>
        <v>45413</v>
      </c>
      <c r="I821" s="26">
        <v>45431</v>
      </c>
      <c r="J821" s="3">
        <v>20.41</v>
      </c>
      <c r="K821" s="10">
        <f>Table2[[#This Row],[Order Quantity]]*Table2[[#This Row],[Price per Unit]]</f>
        <v>79354.080000000002</v>
      </c>
    </row>
    <row r="822" spans="1:11">
      <c r="A822" s="1" t="s">
        <v>841</v>
      </c>
      <c r="B822" s="1" t="s">
        <v>25</v>
      </c>
      <c r="C822" s="1" t="s">
        <v>13</v>
      </c>
      <c r="D822" s="10">
        <v>4134</v>
      </c>
      <c r="E822" s="10">
        <v>4285</v>
      </c>
      <c r="F822" s="4">
        <v>49</v>
      </c>
      <c r="G822" s="2">
        <v>45560</v>
      </c>
      <c r="H822" s="21">
        <f t="shared" si="12"/>
        <v>45536</v>
      </c>
      <c r="I822" s="26">
        <v>45560</v>
      </c>
      <c r="J822" s="3">
        <v>11.32</v>
      </c>
      <c r="K822" s="10">
        <f>Table2[[#This Row],[Order Quantity]]*Table2[[#This Row],[Price per Unit]]</f>
        <v>46796.880000000005</v>
      </c>
    </row>
    <row r="823" spans="1:11">
      <c r="A823" s="1" t="s">
        <v>842</v>
      </c>
      <c r="B823" s="1" t="s">
        <v>27</v>
      </c>
      <c r="C823" s="1" t="s">
        <v>13</v>
      </c>
      <c r="D823" s="10">
        <v>880</v>
      </c>
      <c r="E823" s="10">
        <v>884</v>
      </c>
      <c r="F823" s="4">
        <v>29</v>
      </c>
      <c r="G823" s="2">
        <v>45366</v>
      </c>
      <c r="H823" s="21">
        <f t="shared" si="12"/>
        <v>45352</v>
      </c>
      <c r="I823" s="26">
        <v>45373</v>
      </c>
      <c r="J823" s="3">
        <v>18.510000000000002</v>
      </c>
      <c r="K823" s="10">
        <f>Table2[[#This Row],[Order Quantity]]*Table2[[#This Row],[Price per Unit]]</f>
        <v>16288.800000000001</v>
      </c>
    </row>
    <row r="824" spans="1:11">
      <c r="A824" s="1" t="s">
        <v>843</v>
      </c>
      <c r="B824" s="1" t="s">
        <v>25</v>
      </c>
      <c r="C824" s="1" t="s">
        <v>45</v>
      </c>
      <c r="D824" s="10">
        <v>865</v>
      </c>
      <c r="E824" s="10">
        <v>818</v>
      </c>
      <c r="F824" s="4">
        <v>29</v>
      </c>
      <c r="G824" s="2">
        <v>45570</v>
      </c>
      <c r="H824" s="21">
        <f t="shared" si="12"/>
        <v>45566</v>
      </c>
      <c r="I824" s="26">
        <v>45570</v>
      </c>
      <c r="J824" s="3">
        <v>16.010000000000002</v>
      </c>
      <c r="K824" s="10">
        <f>Table2[[#This Row],[Order Quantity]]*Table2[[#This Row],[Price per Unit]]</f>
        <v>13848.650000000001</v>
      </c>
    </row>
    <row r="825" spans="1:11">
      <c r="A825" s="1" t="s">
        <v>844</v>
      </c>
      <c r="B825" s="1" t="s">
        <v>12</v>
      </c>
      <c r="C825" s="1" t="s">
        <v>16</v>
      </c>
      <c r="D825" s="10">
        <v>1246</v>
      </c>
      <c r="E825" s="10">
        <v>1302</v>
      </c>
      <c r="F825" s="4">
        <v>47</v>
      </c>
      <c r="G825" s="2">
        <v>45644</v>
      </c>
      <c r="H825" s="21">
        <f t="shared" si="12"/>
        <v>45627</v>
      </c>
      <c r="I825" s="26">
        <v>45645</v>
      </c>
      <c r="J825" s="3">
        <v>6.24</v>
      </c>
      <c r="K825" s="10">
        <f>Table2[[#This Row],[Order Quantity]]*Table2[[#This Row],[Price per Unit]]</f>
        <v>7775.04</v>
      </c>
    </row>
    <row r="826" spans="1:11">
      <c r="A826" s="1" t="s">
        <v>845</v>
      </c>
      <c r="B826" s="1" t="s">
        <v>12</v>
      </c>
      <c r="C826" s="1" t="s">
        <v>22</v>
      </c>
      <c r="D826" s="10">
        <v>3329</v>
      </c>
      <c r="E826" s="10">
        <v>3076</v>
      </c>
      <c r="F826" s="4">
        <v>172</v>
      </c>
      <c r="G826" s="2">
        <v>45499</v>
      </c>
      <c r="H826" s="21">
        <f t="shared" si="12"/>
        <v>45474</v>
      </c>
      <c r="I826" s="26">
        <v>45502</v>
      </c>
      <c r="J826" s="3">
        <v>24.95</v>
      </c>
      <c r="K826" s="10">
        <f>Table2[[#This Row],[Order Quantity]]*Table2[[#This Row],[Price per Unit]]</f>
        <v>83058.55</v>
      </c>
    </row>
    <row r="827" spans="1:11">
      <c r="A827" s="1" t="s">
        <v>846</v>
      </c>
      <c r="B827" s="1" t="s">
        <v>18</v>
      </c>
      <c r="C827" s="1" t="s">
        <v>45</v>
      </c>
      <c r="D827" s="10">
        <v>3047</v>
      </c>
      <c r="E827" s="10">
        <v>2925</v>
      </c>
      <c r="F827" s="4">
        <v>52</v>
      </c>
      <c r="G827" s="2">
        <v>45649</v>
      </c>
      <c r="H827" s="21">
        <f t="shared" si="12"/>
        <v>45627</v>
      </c>
      <c r="I827" s="26">
        <v>45649</v>
      </c>
      <c r="J827" s="3">
        <v>22.67</v>
      </c>
      <c r="K827" s="10">
        <f>Table2[[#This Row],[Order Quantity]]*Table2[[#This Row],[Price per Unit]]</f>
        <v>69075.490000000005</v>
      </c>
    </row>
    <row r="828" spans="1:11">
      <c r="A828" s="1" t="s">
        <v>847</v>
      </c>
      <c r="B828" s="1" t="s">
        <v>27</v>
      </c>
      <c r="C828" s="1" t="s">
        <v>20</v>
      </c>
      <c r="D828" s="10">
        <v>1006</v>
      </c>
      <c r="E828" s="10">
        <v>1004</v>
      </c>
      <c r="F828" s="4">
        <v>41</v>
      </c>
      <c r="G828" s="2">
        <v>45611</v>
      </c>
      <c r="H828" s="21">
        <f t="shared" si="12"/>
        <v>45597</v>
      </c>
      <c r="I828" s="26">
        <v>45616</v>
      </c>
      <c r="J828" s="3">
        <v>17.96</v>
      </c>
      <c r="K828" s="10">
        <f>Table2[[#This Row],[Order Quantity]]*Table2[[#This Row],[Price per Unit]]</f>
        <v>18067.760000000002</v>
      </c>
    </row>
    <row r="829" spans="1:11">
      <c r="A829" s="1" t="s">
        <v>848</v>
      </c>
      <c r="B829" s="1" t="s">
        <v>18</v>
      </c>
      <c r="C829" s="1" t="s">
        <v>20</v>
      </c>
      <c r="D829" s="10">
        <v>4090</v>
      </c>
      <c r="E829" s="10">
        <v>4079</v>
      </c>
      <c r="F829" s="4">
        <v>313</v>
      </c>
      <c r="G829" s="2">
        <v>45429</v>
      </c>
      <c r="H829" s="21">
        <f t="shared" si="12"/>
        <v>45413</v>
      </c>
      <c r="I829" s="26">
        <v>45429</v>
      </c>
      <c r="J829" s="3">
        <v>8.0299999999999994</v>
      </c>
      <c r="K829" s="10">
        <f>Table2[[#This Row],[Order Quantity]]*Table2[[#This Row],[Price per Unit]]</f>
        <v>32842.699999999997</v>
      </c>
    </row>
    <row r="830" spans="1:11">
      <c r="A830" s="1" t="s">
        <v>849</v>
      </c>
      <c r="B830" s="1" t="s">
        <v>18</v>
      </c>
      <c r="C830" s="1" t="s">
        <v>20</v>
      </c>
      <c r="D830" s="10">
        <v>890</v>
      </c>
      <c r="E830" s="10">
        <v>871</v>
      </c>
      <c r="F830" s="4">
        <v>15</v>
      </c>
      <c r="G830" s="2">
        <v>45452</v>
      </c>
      <c r="H830" s="21">
        <f t="shared" si="12"/>
        <v>45444</v>
      </c>
      <c r="I830" s="26">
        <v>45452</v>
      </c>
      <c r="J830" s="3">
        <v>22.36</v>
      </c>
      <c r="K830" s="10">
        <f>Table2[[#This Row],[Order Quantity]]*Table2[[#This Row],[Price per Unit]]</f>
        <v>19900.399999999998</v>
      </c>
    </row>
    <row r="831" spans="1:11">
      <c r="A831" s="1" t="s">
        <v>850</v>
      </c>
      <c r="B831" s="1" t="s">
        <v>25</v>
      </c>
      <c r="C831" s="1" t="s">
        <v>13</v>
      </c>
      <c r="D831" s="10">
        <v>1711</v>
      </c>
      <c r="E831" s="10">
        <v>1581</v>
      </c>
      <c r="F831" s="4">
        <v>97</v>
      </c>
      <c r="G831" s="2">
        <v>45509</v>
      </c>
      <c r="H831" s="21">
        <f t="shared" si="12"/>
        <v>45505</v>
      </c>
      <c r="I831" s="26">
        <v>45510</v>
      </c>
      <c r="J831" s="3">
        <v>9.18</v>
      </c>
      <c r="K831" s="10">
        <f>Table2[[#This Row],[Order Quantity]]*Table2[[#This Row],[Price per Unit]]</f>
        <v>15706.98</v>
      </c>
    </row>
    <row r="832" spans="1:11">
      <c r="A832" s="1" t="s">
        <v>851</v>
      </c>
      <c r="B832" s="1" t="s">
        <v>27</v>
      </c>
      <c r="C832" s="1" t="s">
        <v>45</v>
      </c>
      <c r="D832" s="10">
        <v>2618</v>
      </c>
      <c r="E832" s="10">
        <v>2589</v>
      </c>
      <c r="F832" s="4">
        <v>183</v>
      </c>
      <c r="G832" s="2">
        <v>45544</v>
      </c>
      <c r="H832" s="21">
        <f t="shared" si="12"/>
        <v>45536</v>
      </c>
      <c r="I832" s="26">
        <v>45551</v>
      </c>
      <c r="J832" s="3">
        <v>16.54</v>
      </c>
      <c r="K832" s="10">
        <f>Table2[[#This Row],[Order Quantity]]*Table2[[#This Row],[Price per Unit]]</f>
        <v>43301.72</v>
      </c>
    </row>
    <row r="833" spans="1:11">
      <c r="A833" s="1" t="s">
        <v>852</v>
      </c>
      <c r="B833" s="1" t="s">
        <v>27</v>
      </c>
      <c r="C833" s="1" t="s">
        <v>22</v>
      </c>
      <c r="D833" s="10">
        <v>4550</v>
      </c>
      <c r="E833" s="10">
        <v>4296</v>
      </c>
      <c r="F833" s="4">
        <v>202</v>
      </c>
      <c r="G833" s="2">
        <v>45323</v>
      </c>
      <c r="H833" s="21">
        <f t="shared" si="12"/>
        <v>45323</v>
      </c>
      <c r="I833" s="26">
        <v>45326</v>
      </c>
      <c r="J833" s="3">
        <v>18.57</v>
      </c>
      <c r="K833" s="10">
        <f>Table2[[#This Row],[Order Quantity]]*Table2[[#This Row],[Price per Unit]]</f>
        <v>84493.5</v>
      </c>
    </row>
    <row r="834" spans="1:11">
      <c r="A834" s="1" t="s">
        <v>853</v>
      </c>
      <c r="B834" s="1" t="s">
        <v>12</v>
      </c>
      <c r="C834" s="1" t="s">
        <v>20</v>
      </c>
      <c r="D834" s="10">
        <v>4972</v>
      </c>
      <c r="E834" s="10">
        <v>4770</v>
      </c>
      <c r="F834" s="4">
        <v>146</v>
      </c>
      <c r="G834" s="2">
        <v>45338</v>
      </c>
      <c r="H834" s="21">
        <f t="shared" ref="H834:H897" si="13">DATE(YEAR(I834), MONTH(I834), 1)</f>
        <v>45323</v>
      </c>
      <c r="I834" s="26">
        <v>45338</v>
      </c>
      <c r="J834" s="3">
        <v>7.87</v>
      </c>
      <c r="K834" s="10">
        <f>Table2[[#This Row],[Order Quantity]]*Table2[[#This Row],[Price per Unit]]</f>
        <v>39129.64</v>
      </c>
    </row>
    <row r="835" spans="1:11">
      <c r="A835" s="1" t="s">
        <v>854</v>
      </c>
      <c r="B835" s="1" t="s">
        <v>27</v>
      </c>
      <c r="C835" s="1" t="s">
        <v>20</v>
      </c>
      <c r="D835" s="10">
        <v>3602</v>
      </c>
      <c r="E835" s="10">
        <v>3563</v>
      </c>
      <c r="F835" s="4">
        <v>55</v>
      </c>
      <c r="G835" s="2">
        <v>45330</v>
      </c>
      <c r="H835" s="21">
        <f t="shared" si="13"/>
        <v>45323</v>
      </c>
      <c r="I835" s="26">
        <v>45330</v>
      </c>
      <c r="J835" s="3">
        <v>23.79</v>
      </c>
      <c r="K835" s="10">
        <f>Table2[[#This Row],[Order Quantity]]*Table2[[#This Row],[Price per Unit]]</f>
        <v>85691.58</v>
      </c>
    </row>
    <row r="836" spans="1:11">
      <c r="A836" s="1" t="s">
        <v>855</v>
      </c>
      <c r="B836" s="1" t="s">
        <v>15</v>
      </c>
      <c r="C836" s="1" t="s">
        <v>22</v>
      </c>
      <c r="D836" s="10">
        <v>4215</v>
      </c>
      <c r="E836" s="10">
        <v>3920</v>
      </c>
      <c r="F836" s="4">
        <v>125</v>
      </c>
      <c r="G836" s="2">
        <v>45559</v>
      </c>
      <c r="H836" s="21">
        <f t="shared" si="13"/>
        <v>45536</v>
      </c>
      <c r="I836" s="26">
        <v>45562</v>
      </c>
      <c r="J836" s="3">
        <v>20.83</v>
      </c>
      <c r="K836" s="10">
        <f>Table2[[#This Row],[Order Quantity]]*Table2[[#This Row],[Price per Unit]]</f>
        <v>87798.45</v>
      </c>
    </row>
    <row r="837" spans="1:11">
      <c r="A837" s="1" t="s">
        <v>856</v>
      </c>
      <c r="B837" s="1" t="s">
        <v>12</v>
      </c>
      <c r="C837" s="1" t="s">
        <v>22</v>
      </c>
      <c r="D837" s="10">
        <v>1192</v>
      </c>
      <c r="E837" s="10">
        <v>1107</v>
      </c>
      <c r="F837" s="4">
        <v>63</v>
      </c>
      <c r="G837" s="2">
        <v>45637</v>
      </c>
      <c r="H837" s="21">
        <f t="shared" si="13"/>
        <v>45627</v>
      </c>
      <c r="I837" s="26">
        <v>45642</v>
      </c>
      <c r="J837" s="3">
        <v>11.46</v>
      </c>
      <c r="K837" s="10">
        <f>Table2[[#This Row],[Order Quantity]]*Table2[[#This Row],[Price per Unit]]</f>
        <v>13660.320000000002</v>
      </c>
    </row>
    <row r="838" spans="1:11">
      <c r="A838" s="1" t="s">
        <v>857</v>
      </c>
      <c r="B838" s="1" t="s">
        <v>18</v>
      </c>
      <c r="C838" s="1" t="s">
        <v>16</v>
      </c>
      <c r="D838" s="10">
        <v>4320</v>
      </c>
      <c r="E838" s="10">
        <v>4143</v>
      </c>
      <c r="F838" s="4">
        <v>216</v>
      </c>
      <c r="G838" s="2">
        <v>45310</v>
      </c>
      <c r="H838" s="21">
        <f t="shared" si="13"/>
        <v>45292</v>
      </c>
      <c r="I838" s="26">
        <v>45312</v>
      </c>
      <c r="J838" s="3">
        <v>21.03</v>
      </c>
      <c r="K838" s="10">
        <f>Table2[[#This Row],[Order Quantity]]*Table2[[#This Row],[Price per Unit]]</f>
        <v>90849.600000000006</v>
      </c>
    </row>
    <row r="839" spans="1:11">
      <c r="A839" s="1" t="s">
        <v>858</v>
      </c>
      <c r="B839" s="1" t="s">
        <v>27</v>
      </c>
      <c r="C839" s="1" t="s">
        <v>16</v>
      </c>
      <c r="D839" s="10">
        <v>4485</v>
      </c>
      <c r="E839" s="10">
        <v>4427</v>
      </c>
      <c r="F839" s="4">
        <v>334</v>
      </c>
      <c r="G839" s="2">
        <v>45324</v>
      </c>
      <c r="H839" s="21">
        <f t="shared" si="13"/>
        <v>45323</v>
      </c>
      <c r="I839" s="26">
        <v>45324</v>
      </c>
      <c r="J839" s="3">
        <v>18.45</v>
      </c>
      <c r="K839" s="10">
        <f>Table2[[#This Row],[Order Quantity]]*Table2[[#This Row],[Price per Unit]]</f>
        <v>82748.25</v>
      </c>
    </row>
    <row r="840" spans="1:11">
      <c r="A840" s="1" t="s">
        <v>859</v>
      </c>
      <c r="B840" s="1" t="s">
        <v>18</v>
      </c>
      <c r="C840" s="1" t="s">
        <v>45</v>
      </c>
      <c r="D840" s="10">
        <v>2047</v>
      </c>
      <c r="E840" s="10">
        <v>2134</v>
      </c>
      <c r="F840" s="4">
        <v>24</v>
      </c>
      <c r="G840" s="2">
        <v>45623</v>
      </c>
      <c r="H840" s="21">
        <f t="shared" si="13"/>
        <v>45627</v>
      </c>
      <c r="I840" s="26">
        <v>45628</v>
      </c>
      <c r="J840" s="3">
        <v>24.65</v>
      </c>
      <c r="K840" s="10">
        <f>Table2[[#This Row],[Order Quantity]]*Table2[[#This Row],[Price per Unit]]</f>
        <v>50458.549999999996</v>
      </c>
    </row>
    <row r="841" spans="1:11">
      <c r="A841" s="1" t="s">
        <v>860</v>
      </c>
      <c r="B841" s="1" t="s">
        <v>18</v>
      </c>
      <c r="C841" s="1" t="s">
        <v>16</v>
      </c>
      <c r="D841" s="10">
        <v>2064</v>
      </c>
      <c r="E841" s="10">
        <v>1944</v>
      </c>
      <c r="F841" s="4">
        <v>37</v>
      </c>
      <c r="G841" s="2">
        <v>45471</v>
      </c>
      <c r="H841" s="21">
        <f t="shared" si="13"/>
        <v>45474</v>
      </c>
      <c r="I841" s="26">
        <v>45476</v>
      </c>
      <c r="J841" s="3">
        <v>13.8</v>
      </c>
      <c r="K841" s="10">
        <f>Table2[[#This Row],[Order Quantity]]*Table2[[#This Row],[Price per Unit]]</f>
        <v>28483.200000000001</v>
      </c>
    </row>
    <row r="842" spans="1:11">
      <c r="A842" s="1" t="s">
        <v>861</v>
      </c>
      <c r="B842" s="1" t="s">
        <v>15</v>
      </c>
      <c r="C842" s="1" t="s">
        <v>20</v>
      </c>
      <c r="D842" s="10">
        <v>4456</v>
      </c>
      <c r="E842" s="10">
        <v>4088</v>
      </c>
      <c r="F842" s="4">
        <v>77</v>
      </c>
      <c r="G842" s="2">
        <v>45501</v>
      </c>
      <c r="H842" s="21">
        <f t="shared" si="13"/>
        <v>45474</v>
      </c>
      <c r="I842" s="26">
        <v>45502</v>
      </c>
      <c r="J842" s="3">
        <v>8.7899999999999991</v>
      </c>
      <c r="K842" s="10">
        <f>Table2[[#This Row],[Order Quantity]]*Table2[[#This Row],[Price per Unit]]</f>
        <v>39168.239999999998</v>
      </c>
    </row>
    <row r="843" spans="1:11">
      <c r="A843" s="1" t="s">
        <v>862</v>
      </c>
      <c r="B843" s="1" t="s">
        <v>12</v>
      </c>
      <c r="C843" s="1" t="s">
        <v>16</v>
      </c>
      <c r="D843" s="10">
        <v>921</v>
      </c>
      <c r="E843" s="10">
        <v>858</v>
      </c>
      <c r="F843" s="4">
        <v>35</v>
      </c>
      <c r="G843" s="2">
        <v>45302</v>
      </c>
      <c r="H843" s="21">
        <f t="shared" si="13"/>
        <v>45292</v>
      </c>
      <c r="I843" s="26">
        <v>45303</v>
      </c>
      <c r="J843" s="3">
        <v>5.97</v>
      </c>
      <c r="K843" s="10">
        <f>Table2[[#This Row],[Order Quantity]]*Table2[[#This Row],[Price per Unit]]</f>
        <v>5498.37</v>
      </c>
    </row>
    <row r="844" spans="1:11">
      <c r="A844" s="1" t="s">
        <v>863</v>
      </c>
      <c r="B844" s="1" t="s">
        <v>12</v>
      </c>
      <c r="C844" s="1" t="s">
        <v>20</v>
      </c>
      <c r="D844" s="10">
        <v>1390</v>
      </c>
      <c r="E844" s="10">
        <v>1373</v>
      </c>
      <c r="F844" s="4">
        <v>47</v>
      </c>
      <c r="G844" s="2">
        <v>45313</v>
      </c>
      <c r="H844" s="21">
        <f t="shared" si="13"/>
        <v>45292</v>
      </c>
      <c r="I844" s="26">
        <v>45313</v>
      </c>
      <c r="J844" s="3">
        <v>21</v>
      </c>
      <c r="K844" s="10">
        <f>Table2[[#This Row],[Order Quantity]]*Table2[[#This Row],[Price per Unit]]</f>
        <v>29190</v>
      </c>
    </row>
    <row r="845" spans="1:11">
      <c r="A845" s="1" t="s">
        <v>864</v>
      </c>
      <c r="B845" s="1" t="s">
        <v>25</v>
      </c>
      <c r="C845" s="1" t="s">
        <v>45</v>
      </c>
      <c r="D845" s="10">
        <v>3743</v>
      </c>
      <c r="E845" s="10">
        <v>3893</v>
      </c>
      <c r="F845" s="4">
        <v>165</v>
      </c>
      <c r="G845" s="2">
        <v>45376</v>
      </c>
      <c r="H845" s="21">
        <f t="shared" si="13"/>
        <v>45352</v>
      </c>
      <c r="I845" s="26">
        <v>45381</v>
      </c>
      <c r="J845" s="3">
        <v>13.91</v>
      </c>
      <c r="K845" s="10">
        <f>Table2[[#This Row],[Order Quantity]]*Table2[[#This Row],[Price per Unit]]</f>
        <v>52065.13</v>
      </c>
    </row>
    <row r="846" spans="1:11">
      <c r="A846" s="1" t="s">
        <v>865</v>
      </c>
      <c r="B846" s="1" t="s">
        <v>18</v>
      </c>
      <c r="C846" s="1" t="s">
        <v>20</v>
      </c>
      <c r="D846" s="10">
        <v>4739</v>
      </c>
      <c r="E846" s="10">
        <v>4880</v>
      </c>
      <c r="F846" s="4">
        <v>105</v>
      </c>
      <c r="G846" s="2">
        <v>45470</v>
      </c>
      <c r="H846" s="21">
        <f t="shared" si="13"/>
        <v>45474</v>
      </c>
      <c r="I846" s="26">
        <v>45475</v>
      </c>
      <c r="J846" s="3">
        <v>13.3</v>
      </c>
      <c r="K846" s="10">
        <f>Table2[[#This Row],[Order Quantity]]*Table2[[#This Row],[Price per Unit]]</f>
        <v>63028.700000000004</v>
      </c>
    </row>
    <row r="847" spans="1:11">
      <c r="A847" s="1" t="s">
        <v>866</v>
      </c>
      <c r="B847" s="1" t="s">
        <v>27</v>
      </c>
      <c r="C847" s="1" t="s">
        <v>13</v>
      </c>
      <c r="D847" s="10">
        <v>764</v>
      </c>
      <c r="E847" s="10">
        <v>690</v>
      </c>
      <c r="F847" s="4">
        <v>46</v>
      </c>
      <c r="G847" s="2">
        <v>45488</v>
      </c>
      <c r="H847" s="21">
        <f t="shared" si="13"/>
        <v>45474</v>
      </c>
      <c r="I847" s="26">
        <v>45488</v>
      </c>
      <c r="J847" s="3">
        <v>21.5</v>
      </c>
      <c r="K847" s="10">
        <f>Table2[[#This Row],[Order Quantity]]*Table2[[#This Row],[Price per Unit]]</f>
        <v>16426</v>
      </c>
    </row>
    <row r="848" spans="1:11">
      <c r="A848" s="1" t="s">
        <v>867</v>
      </c>
      <c r="B848" s="1" t="s">
        <v>12</v>
      </c>
      <c r="C848" s="1" t="s">
        <v>16</v>
      </c>
      <c r="D848" s="10">
        <v>3624</v>
      </c>
      <c r="E848" s="10">
        <v>3546</v>
      </c>
      <c r="F848" s="4">
        <v>91</v>
      </c>
      <c r="G848" s="2">
        <v>45562</v>
      </c>
      <c r="H848" s="21">
        <f t="shared" si="13"/>
        <v>45566</v>
      </c>
      <c r="I848" s="26">
        <v>45567</v>
      </c>
      <c r="J848" s="3">
        <v>18.329999999999998</v>
      </c>
      <c r="K848" s="10">
        <f>Table2[[#This Row],[Order Quantity]]*Table2[[#This Row],[Price per Unit]]</f>
        <v>66427.92</v>
      </c>
    </row>
    <row r="849" spans="1:11">
      <c r="A849" s="1" t="s">
        <v>868</v>
      </c>
      <c r="B849" s="1" t="s">
        <v>15</v>
      </c>
      <c r="C849" s="1" t="s">
        <v>45</v>
      </c>
      <c r="D849" s="10">
        <v>1424</v>
      </c>
      <c r="E849" s="10">
        <v>1284</v>
      </c>
      <c r="F849" s="4">
        <v>25</v>
      </c>
      <c r="G849" s="2">
        <v>45320</v>
      </c>
      <c r="H849" s="21">
        <f t="shared" si="13"/>
        <v>45323</v>
      </c>
      <c r="I849" s="26">
        <v>45325</v>
      </c>
      <c r="J849" s="3">
        <v>19.850000000000001</v>
      </c>
      <c r="K849" s="10">
        <f>Table2[[#This Row],[Order Quantity]]*Table2[[#This Row],[Price per Unit]]</f>
        <v>28266.400000000001</v>
      </c>
    </row>
    <row r="850" spans="1:11">
      <c r="A850" s="1" t="s">
        <v>869</v>
      </c>
      <c r="B850" s="1" t="s">
        <v>15</v>
      </c>
      <c r="C850" s="1" t="s">
        <v>45</v>
      </c>
      <c r="D850" s="10">
        <v>534</v>
      </c>
      <c r="E850" s="10">
        <v>484</v>
      </c>
      <c r="F850" s="4">
        <v>18</v>
      </c>
      <c r="G850" s="2">
        <v>45438</v>
      </c>
      <c r="H850" s="21">
        <f t="shared" si="13"/>
        <v>45413</v>
      </c>
      <c r="I850" s="26">
        <v>45438</v>
      </c>
      <c r="J850" s="3">
        <v>15.23</v>
      </c>
      <c r="K850" s="10">
        <f>Table2[[#This Row],[Order Quantity]]*Table2[[#This Row],[Price per Unit]]</f>
        <v>8132.8200000000006</v>
      </c>
    </row>
    <row r="851" spans="1:11">
      <c r="A851" s="1" t="s">
        <v>870</v>
      </c>
      <c r="B851" s="1" t="s">
        <v>18</v>
      </c>
      <c r="C851" s="1" t="s">
        <v>20</v>
      </c>
      <c r="D851" s="10">
        <v>1403</v>
      </c>
      <c r="E851" s="10">
        <v>1319</v>
      </c>
      <c r="F851" s="4">
        <v>31</v>
      </c>
      <c r="G851" s="2">
        <v>45470</v>
      </c>
      <c r="H851" s="21">
        <f t="shared" si="13"/>
        <v>45444</v>
      </c>
      <c r="I851" s="26">
        <v>45472</v>
      </c>
      <c r="J851" s="3">
        <v>14.49</v>
      </c>
      <c r="K851" s="10">
        <f>Table2[[#This Row],[Order Quantity]]*Table2[[#This Row],[Price per Unit]]</f>
        <v>20329.47</v>
      </c>
    </row>
    <row r="852" spans="1:11">
      <c r="A852" s="1" t="s">
        <v>871</v>
      </c>
      <c r="B852" s="1" t="s">
        <v>18</v>
      </c>
      <c r="C852" s="1" t="s">
        <v>22</v>
      </c>
      <c r="D852" s="10">
        <v>1056</v>
      </c>
      <c r="E852" s="10">
        <v>1038</v>
      </c>
      <c r="F852" s="4">
        <v>48</v>
      </c>
      <c r="G852" s="2">
        <v>45300</v>
      </c>
      <c r="H852" s="21">
        <f t="shared" si="13"/>
        <v>45292</v>
      </c>
      <c r="I852" s="26">
        <v>45301</v>
      </c>
      <c r="J852" s="3">
        <v>24.89</v>
      </c>
      <c r="K852" s="10">
        <f>Table2[[#This Row],[Order Quantity]]*Table2[[#This Row],[Price per Unit]]</f>
        <v>26283.84</v>
      </c>
    </row>
    <row r="853" spans="1:11">
      <c r="A853" s="1" t="s">
        <v>872</v>
      </c>
      <c r="B853" s="1" t="s">
        <v>15</v>
      </c>
      <c r="C853" s="1" t="s">
        <v>16</v>
      </c>
      <c r="D853" s="10">
        <v>1516</v>
      </c>
      <c r="E853" s="10">
        <v>1573</v>
      </c>
      <c r="F853" s="4">
        <v>101</v>
      </c>
      <c r="G853" s="2">
        <v>45569</v>
      </c>
      <c r="H853" s="21">
        <f t="shared" si="13"/>
        <v>45566</v>
      </c>
      <c r="I853" s="26">
        <v>45576</v>
      </c>
      <c r="J853" s="3">
        <v>21.45</v>
      </c>
      <c r="K853" s="10">
        <f>Table2[[#This Row],[Order Quantity]]*Table2[[#This Row],[Price per Unit]]</f>
        <v>32518.2</v>
      </c>
    </row>
    <row r="854" spans="1:11">
      <c r="A854" s="1" t="s">
        <v>873</v>
      </c>
      <c r="B854" s="1" t="s">
        <v>12</v>
      </c>
      <c r="C854" s="1" t="s">
        <v>20</v>
      </c>
      <c r="D854" s="10">
        <v>1951</v>
      </c>
      <c r="E854" s="10">
        <v>1769</v>
      </c>
      <c r="F854" s="4">
        <v>134</v>
      </c>
      <c r="G854" s="2">
        <v>45597</v>
      </c>
      <c r="H854" s="21">
        <f t="shared" si="13"/>
        <v>45597</v>
      </c>
      <c r="I854" s="26">
        <v>45598</v>
      </c>
      <c r="J854" s="3">
        <v>21.84</v>
      </c>
      <c r="K854" s="10">
        <f>Table2[[#This Row],[Order Quantity]]*Table2[[#This Row],[Price per Unit]]</f>
        <v>42609.84</v>
      </c>
    </row>
    <row r="855" spans="1:11">
      <c r="A855" s="1" t="s">
        <v>874</v>
      </c>
      <c r="B855" s="1" t="s">
        <v>27</v>
      </c>
      <c r="C855" s="1" t="s">
        <v>45</v>
      </c>
      <c r="D855" s="10">
        <v>4036</v>
      </c>
      <c r="E855" s="10">
        <v>4114</v>
      </c>
      <c r="F855" s="4">
        <v>259</v>
      </c>
      <c r="G855" s="2">
        <v>45570</v>
      </c>
      <c r="H855" s="21">
        <f t="shared" si="13"/>
        <v>45566</v>
      </c>
      <c r="I855" s="26">
        <v>45570</v>
      </c>
      <c r="J855" s="3">
        <v>18.61</v>
      </c>
      <c r="K855" s="10">
        <f>Table2[[#This Row],[Order Quantity]]*Table2[[#This Row],[Price per Unit]]</f>
        <v>75109.959999999992</v>
      </c>
    </row>
    <row r="856" spans="1:11">
      <c r="A856" s="1" t="s">
        <v>875</v>
      </c>
      <c r="B856" s="1" t="s">
        <v>18</v>
      </c>
      <c r="C856" s="1" t="s">
        <v>22</v>
      </c>
      <c r="D856" s="10">
        <v>4729</v>
      </c>
      <c r="E856" s="10">
        <v>4741</v>
      </c>
      <c r="F856" s="4">
        <v>362</v>
      </c>
      <c r="G856" s="2">
        <v>45432</v>
      </c>
      <c r="H856" s="21">
        <f t="shared" si="13"/>
        <v>45413</v>
      </c>
      <c r="I856" s="26">
        <v>45432</v>
      </c>
      <c r="J856" s="3">
        <v>7.85</v>
      </c>
      <c r="K856" s="10">
        <f>Table2[[#This Row],[Order Quantity]]*Table2[[#This Row],[Price per Unit]]</f>
        <v>37122.65</v>
      </c>
    </row>
    <row r="857" spans="1:11">
      <c r="A857" s="1" t="s">
        <v>876</v>
      </c>
      <c r="B857" s="1" t="s">
        <v>25</v>
      </c>
      <c r="C857" s="1" t="s">
        <v>13</v>
      </c>
      <c r="D857" s="10">
        <v>2369</v>
      </c>
      <c r="E857" s="10">
        <v>2233</v>
      </c>
      <c r="F857" s="4">
        <v>127</v>
      </c>
      <c r="G857" s="2">
        <v>45383</v>
      </c>
      <c r="H857" s="21">
        <f t="shared" si="13"/>
        <v>45383</v>
      </c>
      <c r="I857" s="26">
        <v>45383</v>
      </c>
      <c r="J857" s="3">
        <v>8.4</v>
      </c>
      <c r="K857" s="10">
        <f>Table2[[#This Row],[Order Quantity]]*Table2[[#This Row],[Price per Unit]]</f>
        <v>19899.600000000002</v>
      </c>
    </row>
    <row r="858" spans="1:11">
      <c r="A858" s="1" t="s">
        <v>877</v>
      </c>
      <c r="B858" s="1" t="s">
        <v>18</v>
      </c>
      <c r="C858" s="1" t="s">
        <v>13</v>
      </c>
      <c r="D858" s="10">
        <v>1579</v>
      </c>
      <c r="E858" s="10">
        <v>1518</v>
      </c>
      <c r="F858" s="4">
        <v>67</v>
      </c>
      <c r="G858" s="2">
        <v>45511</v>
      </c>
      <c r="H858" s="21">
        <f t="shared" si="13"/>
        <v>45505</v>
      </c>
      <c r="I858" s="26">
        <v>45511</v>
      </c>
      <c r="J858" s="3">
        <v>13.31</v>
      </c>
      <c r="K858" s="10">
        <f>Table2[[#This Row],[Order Quantity]]*Table2[[#This Row],[Price per Unit]]</f>
        <v>21016.49</v>
      </c>
    </row>
    <row r="859" spans="1:11">
      <c r="A859" s="1" t="s">
        <v>878</v>
      </c>
      <c r="B859" s="1" t="s">
        <v>25</v>
      </c>
      <c r="C859" s="1" t="s">
        <v>22</v>
      </c>
      <c r="D859" s="10">
        <v>1313</v>
      </c>
      <c r="E859" s="10">
        <v>1376</v>
      </c>
      <c r="F859" s="4">
        <v>17</v>
      </c>
      <c r="G859" s="2">
        <v>45297</v>
      </c>
      <c r="H859" s="21">
        <f t="shared" si="13"/>
        <v>45292</v>
      </c>
      <c r="I859" s="26">
        <v>45304</v>
      </c>
      <c r="J859" s="3">
        <v>24.36</v>
      </c>
      <c r="K859" s="10">
        <f>Table2[[#This Row],[Order Quantity]]*Table2[[#This Row],[Price per Unit]]</f>
        <v>31984.68</v>
      </c>
    </row>
    <row r="860" spans="1:11">
      <c r="A860" s="1" t="s">
        <v>879</v>
      </c>
      <c r="B860" s="1" t="s">
        <v>12</v>
      </c>
      <c r="C860" s="1" t="s">
        <v>45</v>
      </c>
      <c r="D860" s="10">
        <v>4003</v>
      </c>
      <c r="E860" s="10">
        <v>3671</v>
      </c>
      <c r="F860" s="4">
        <v>162</v>
      </c>
      <c r="G860" s="2">
        <v>45439</v>
      </c>
      <c r="H860" s="21">
        <f t="shared" si="13"/>
        <v>45413</v>
      </c>
      <c r="I860" s="26">
        <v>45442</v>
      </c>
      <c r="J860" s="3">
        <v>8.39</v>
      </c>
      <c r="K860" s="10">
        <f>Table2[[#This Row],[Order Quantity]]*Table2[[#This Row],[Price per Unit]]</f>
        <v>33585.170000000006</v>
      </c>
    </row>
    <row r="861" spans="1:11">
      <c r="A861" s="1" t="s">
        <v>880</v>
      </c>
      <c r="B861" s="1" t="s">
        <v>15</v>
      </c>
      <c r="C861" s="1" t="s">
        <v>20</v>
      </c>
      <c r="D861" s="10">
        <v>1349</v>
      </c>
      <c r="E861" s="10">
        <v>1375</v>
      </c>
      <c r="F861" s="4">
        <v>78</v>
      </c>
      <c r="G861" s="2">
        <v>45466</v>
      </c>
      <c r="H861" s="21">
        <f t="shared" si="13"/>
        <v>45444</v>
      </c>
      <c r="I861" s="26">
        <v>45471</v>
      </c>
      <c r="J861" s="3">
        <v>15.94</v>
      </c>
      <c r="K861" s="10">
        <f>Table2[[#This Row],[Order Quantity]]*Table2[[#This Row],[Price per Unit]]</f>
        <v>21503.059999999998</v>
      </c>
    </row>
    <row r="862" spans="1:11">
      <c r="A862" s="1" t="s">
        <v>881</v>
      </c>
      <c r="B862" s="1" t="s">
        <v>15</v>
      </c>
      <c r="C862" s="1" t="s">
        <v>20</v>
      </c>
      <c r="D862" s="10">
        <v>994</v>
      </c>
      <c r="E862" s="10">
        <v>959</v>
      </c>
      <c r="F862" s="4">
        <v>51</v>
      </c>
      <c r="G862" s="2">
        <v>45438</v>
      </c>
      <c r="H862" s="21">
        <f t="shared" si="13"/>
        <v>45413</v>
      </c>
      <c r="I862" s="26">
        <v>45438</v>
      </c>
      <c r="J862" s="3">
        <v>17.95</v>
      </c>
      <c r="K862" s="10">
        <f>Table2[[#This Row],[Order Quantity]]*Table2[[#This Row],[Price per Unit]]</f>
        <v>17842.3</v>
      </c>
    </row>
    <row r="863" spans="1:11">
      <c r="A863" s="1" t="s">
        <v>882</v>
      </c>
      <c r="B863" s="1" t="s">
        <v>27</v>
      </c>
      <c r="C863" s="1" t="s">
        <v>16</v>
      </c>
      <c r="D863" s="10">
        <v>1498</v>
      </c>
      <c r="E863" s="10">
        <v>1402</v>
      </c>
      <c r="F863" s="4">
        <v>99</v>
      </c>
      <c r="G863" s="2">
        <v>45507</v>
      </c>
      <c r="H863" s="21">
        <f t="shared" si="13"/>
        <v>45505</v>
      </c>
      <c r="I863" s="26">
        <v>45507</v>
      </c>
      <c r="J863" s="3">
        <v>21.61</v>
      </c>
      <c r="K863" s="10">
        <f>Table2[[#This Row],[Order Quantity]]*Table2[[#This Row],[Price per Unit]]</f>
        <v>32371.78</v>
      </c>
    </row>
    <row r="864" spans="1:11">
      <c r="A864" s="1" t="s">
        <v>883</v>
      </c>
      <c r="B864" s="1" t="s">
        <v>25</v>
      </c>
      <c r="C864" s="1" t="s">
        <v>45</v>
      </c>
      <c r="D864" s="10">
        <v>3434</v>
      </c>
      <c r="E864" s="10">
        <v>3405</v>
      </c>
      <c r="F864" s="4">
        <v>38</v>
      </c>
      <c r="G864" s="2">
        <v>45367</v>
      </c>
      <c r="H864" s="21">
        <f t="shared" si="13"/>
        <v>45352</v>
      </c>
      <c r="I864" s="26">
        <v>45372</v>
      </c>
      <c r="J864" s="3">
        <v>8.9</v>
      </c>
      <c r="K864" s="10">
        <f>Table2[[#This Row],[Order Quantity]]*Table2[[#This Row],[Price per Unit]]</f>
        <v>30562.600000000002</v>
      </c>
    </row>
    <row r="865" spans="1:11">
      <c r="A865" s="1" t="s">
        <v>884</v>
      </c>
      <c r="B865" s="1" t="s">
        <v>18</v>
      </c>
      <c r="C865" s="1" t="s">
        <v>22</v>
      </c>
      <c r="D865" s="10">
        <v>4303</v>
      </c>
      <c r="E865" s="10">
        <v>4143</v>
      </c>
      <c r="F865" s="4">
        <v>209</v>
      </c>
      <c r="G865" s="2">
        <v>45471</v>
      </c>
      <c r="H865" s="21">
        <f t="shared" si="13"/>
        <v>45444</v>
      </c>
      <c r="I865" s="26">
        <v>45473</v>
      </c>
      <c r="J865" s="3">
        <v>21.65</v>
      </c>
      <c r="K865" s="10">
        <f>Table2[[#This Row],[Order Quantity]]*Table2[[#This Row],[Price per Unit]]</f>
        <v>93159.95</v>
      </c>
    </row>
    <row r="866" spans="1:11">
      <c r="A866" s="1" t="s">
        <v>885</v>
      </c>
      <c r="B866" s="1" t="s">
        <v>12</v>
      </c>
      <c r="C866" s="1" t="s">
        <v>45</v>
      </c>
      <c r="D866" s="10">
        <v>3697</v>
      </c>
      <c r="E866" s="10">
        <v>3360</v>
      </c>
      <c r="F866" s="4">
        <v>196</v>
      </c>
      <c r="G866" s="2">
        <v>45459</v>
      </c>
      <c r="H866" s="21">
        <f t="shared" si="13"/>
        <v>45444</v>
      </c>
      <c r="I866" s="26">
        <v>45466</v>
      </c>
      <c r="J866" s="3">
        <v>7.8</v>
      </c>
      <c r="K866" s="10">
        <f>Table2[[#This Row],[Order Quantity]]*Table2[[#This Row],[Price per Unit]]</f>
        <v>28836.6</v>
      </c>
    </row>
    <row r="867" spans="1:11">
      <c r="A867" s="1" t="s">
        <v>886</v>
      </c>
      <c r="B867" s="1" t="s">
        <v>25</v>
      </c>
      <c r="C867" s="1" t="s">
        <v>16</v>
      </c>
      <c r="D867" s="10">
        <v>4889</v>
      </c>
      <c r="E867" s="10">
        <v>4695</v>
      </c>
      <c r="F867" s="4">
        <v>217</v>
      </c>
      <c r="G867" s="2">
        <v>45307</v>
      </c>
      <c r="H867" s="21">
        <f t="shared" si="13"/>
        <v>45292</v>
      </c>
      <c r="I867" s="26">
        <v>45308</v>
      </c>
      <c r="J867" s="3">
        <v>24.93</v>
      </c>
      <c r="K867" s="10">
        <f>Table2[[#This Row],[Order Quantity]]*Table2[[#This Row],[Price per Unit]]</f>
        <v>121882.77</v>
      </c>
    </row>
    <row r="868" spans="1:11">
      <c r="A868" s="1" t="s">
        <v>887</v>
      </c>
      <c r="B868" s="1" t="s">
        <v>15</v>
      </c>
      <c r="C868" s="1" t="s">
        <v>45</v>
      </c>
      <c r="D868" s="10">
        <v>4579</v>
      </c>
      <c r="E868" s="10">
        <v>4649</v>
      </c>
      <c r="F868" s="4">
        <v>369</v>
      </c>
      <c r="G868" s="2">
        <v>45505</v>
      </c>
      <c r="H868" s="21">
        <f t="shared" si="13"/>
        <v>45505</v>
      </c>
      <c r="I868" s="26">
        <v>45507</v>
      </c>
      <c r="J868" s="3">
        <v>5.22</v>
      </c>
      <c r="K868" s="10">
        <f>Table2[[#This Row],[Order Quantity]]*Table2[[#This Row],[Price per Unit]]</f>
        <v>23902.379999999997</v>
      </c>
    </row>
    <row r="869" spans="1:11">
      <c r="A869" s="1" t="s">
        <v>888</v>
      </c>
      <c r="B869" s="1" t="s">
        <v>18</v>
      </c>
      <c r="C869" s="1" t="s">
        <v>16</v>
      </c>
      <c r="D869" s="10">
        <v>3341</v>
      </c>
      <c r="E869" s="10">
        <v>3461</v>
      </c>
      <c r="F869" s="4">
        <v>274</v>
      </c>
      <c r="G869" s="2">
        <v>45442</v>
      </c>
      <c r="H869" s="21">
        <f t="shared" si="13"/>
        <v>45413</v>
      </c>
      <c r="I869" s="26">
        <v>45442</v>
      </c>
      <c r="J869" s="3">
        <v>9.17</v>
      </c>
      <c r="K869" s="10">
        <f>Table2[[#This Row],[Order Quantity]]*Table2[[#This Row],[Price per Unit]]</f>
        <v>30636.97</v>
      </c>
    </row>
    <row r="870" spans="1:11">
      <c r="A870" s="1" t="s">
        <v>889</v>
      </c>
      <c r="B870" s="1" t="s">
        <v>25</v>
      </c>
      <c r="C870" s="1" t="s">
        <v>13</v>
      </c>
      <c r="D870" s="10">
        <v>4659</v>
      </c>
      <c r="E870" s="10">
        <v>4703</v>
      </c>
      <c r="F870" s="4">
        <v>277</v>
      </c>
      <c r="G870" s="2">
        <v>45368</v>
      </c>
      <c r="H870" s="21">
        <f t="shared" si="13"/>
        <v>45352</v>
      </c>
      <c r="I870" s="26">
        <v>45368</v>
      </c>
      <c r="J870" s="3">
        <v>16.78</v>
      </c>
      <c r="K870" s="10">
        <f>Table2[[#This Row],[Order Quantity]]*Table2[[#This Row],[Price per Unit]]</f>
        <v>78178.02</v>
      </c>
    </row>
    <row r="871" spans="1:11">
      <c r="A871" s="1" t="s">
        <v>890</v>
      </c>
      <c r="B871" s="1" t="s">
        <v>18</v>
      </c>
      <c r="C871" s="1" t="s">
        <v>13</v>
      </c>
      <c r="D871" s="10">
        <v>4229</v>
      </c>
      <c r="E871" s="10">
        <v>4171</v>
      </c>
      <c r="F871" s="4">
        <v>88</v>
      </c>
      <c r="G871" s="2">
        <v>45638</v>
      </c>
      <c r="H871" s="21">
        <f t="shared" si="13"/>
        <v>45627</v>
      </c>
      <c r="I871" s="26">
        <v>45640</v>
      </c>
      <c r="J871" s="3">
        <v>14.43</v>
      </c>
      <c r="K871" s="10">
        <f>Table2[[#This Row],[Order Quantity]]*Table2[[#This Row],[Price per Unit]]</f>
        <v>61024.47</v>
      </c>
    </row>
    <row r="872" spans="1:11">
      <c r="A872" s="1" t="s">
        <v>891</v>
      </c>
      <c r="B872" s="1" t="s">
        <v>25</v>
      </c>
      <c r="C872" s="1" t="s">
        <v>45</v>
      </c>
      <c r="D872" s="10">
        <v>3487</v>
      </c>
      <c r="E872" s="10">
        <v>3248</v>
      </c>
      <c r="F872" s="4">
        <v>201</v>
      </c>
      <c r="G872" s="2">
        <v>45461</v>
      </c>
      <c r="H872" s="21">
        <f t="shared" si="13"/>
        <v>45444</v>
      </c>
      <c r="I872" s="26">
        <v>45466</v>
      </c>
      <c r="J872" s="3">
        <v>5.5</v>
      </c>
      <c r="K872" s="10">
        <f>Table2[[#This Row],[Order Quantity]]*Table2[[#This Row],[Price per Unit]]</f>
        <v>19178.5</v>
      </c>
    </row>
    <row r="873" spans="1:11">
      <c r="A873" s="1" t="s">
        <v>892</v>
      </c>
      <c r="B873" s="1" t="s">
        <v>12</v>
      </c>
      <c r="C873" s="1" t="s">
        <v>20</v>
      </c>
      <c r="D873" s="10">
        <v>1573</v>
      </c>
      <c r="E873" s="10">
        <v>1425</v>
      </c>
      <c r="F873" s="4">
        <v>84</v>
      </c>
      <c r="G873" s="2">
        <v>45536</v>
      </c>
      <c r="H873" s="21">
        <f t="shared" si="13"/>
        <v>45536</v>
      </c>
      <c r="I873" s="26">
        <v>45538</v>
      </c>
      <c r="J873" s="3">
        <v>11.61</v>
      </c>
      <c r="K873" s="10">
        <f>Table2[[#This Row],[Order Quantity]]*Table2[[#This Row],[Price per Unit]]</f>
        <v>18262.53</v>
      </c>
    </row>
    <row r="874" spans="1:11">
      <c r="A874" s="1" t="s">
        <v>893</v>
      </c>
      <c r="B874" s="1" t="s">
        <v>12</v>
      </c>
      <c r="C874" s="1" t="s">
        <v>45</v>
      </c>
      <c r="D874" s="10">
        <v>3080</v>
      </c>
      <c r="E874" s="10">
        <v>3111</v>
      </c>
      <c r="F874" s="4">
        <v>163</v>
      </c>
      <c r="G874" s="2">
        <v>45634</v>
      </c>
      <c r="H874" s="21">
        <f t="shared" si="13"/>
        <v>45627</v>
      </c>
      <c r="I874" s="26">
        <v>45635</v>
      </c>
      <c r="J874" s="3">
        <v>14.76</v>
      </c>
      <c r="K874" s="10">
        <f>Table2[[#This Row],[Order Quantity]]*Table2[[#This Row],[Price per Unit]]</f>
        <v>45460.800000000003</v>
      </c>
    </row>
    <row r="875" spans="1:11">
      <c r="A875" s="1" t="s">
        <v>894</v>
      </c>
      <c r="B875" s="1" t="s">
        <v>25</v>
      </c>
      <c r="C875" s="1" t="s">
        <v>22</v>
      </c>
      <c r="D875" s="10">
        <v>4329</v>
      </c>
      <c r="E875" s="10">
        <v>4168</v>
      </c>
      <c r="F875" s="4">
        <v>216</v>
      </c>
      <c r="G875" s="2">
        <v>45316</v>
      </c>
      <c r="H875" s="21">
        <f t="shared" si="13"/>
        <v>45292</v>
      </c>
      <c r="I875" s="26">
        <v>45316</v>
      </c>
      <c r="J875" s="3">
        <v>15.27</v>
      </c>
      <c r="K875" s="10">
        <f>Table2[[#This Row],[Order Quantity]]*Table2[[#This Row],[Price per Unit]]</f>
        <v>66103.83</v>
      </c>
    </row>
    <row r="876" spans="1:11">
      <c r="A876" s="1" t="s">
        <v>895</v>
      </c>
      <c r="B876" s="1" t="s">
        <v>27</v>
      </c>
      <c r="C876" s="1" t="s">
        <v>45</v>
      </c>
      <c r="D876" s="10">
        <v>2021</v>
      </c>
      <c r="E876" s="10">
        <v>1944</v>
      </c>
      <c r="F876" s="4">
        <v>143</v>
      </c>
      <c r="G876" s="2">
        <v>45366</v>
      </c>
      <c r="H876" s="21">
        <f t="shared" si="13"/>
        <v>45352</v>
      </c>
      <c r="I876" s="26">
        <v>45369</v>
      </c>
      <c r="J876" s="3">
        <v>9.85</v>
      </c>
      <c r="K876" s="10">
        <f>Table2[[#This Row],[Order Quantity]]*Table2[[#This Row],[Price per Unit]]</f>
        <v>19906.849999999999</v>
      </c>
    </row>
    <row r="877" spans="1:11">
      <c r="A877" s="1" t="s">
        <v>896</v>
      </c>
      <c r="B877" s="1" t="s">
        <v>25</v>
      </c>
      <c r="C877" s="1" t="s">
        <v>20</v>
      </c>
      <c r="D877" s="10">
        <v>3381</v>
      </c>
      <c r="E877" s="10">
        <v>3520</v>
      </c>
      <c r="F877" s="4">
        <v>78</v>
      </c>
      <c r="G877" s="2">
        <v>45443</v>
      </c>
      <c r="H877" s="21">
        <f t="shared" si="13"/>
        <v>45413</v>
      </c>
      <c r="I877" s="26">
        <v>45443</v>
      </c>
      <c r="J877" s="3">
        <v>14.43</v>
      </c>
      <c r="K877" s="10">
        <f>Table2[[#This Row],[Order Quantity]]*Table2[[#This Row],[Price per Unit]]</f>
        <v>48787.83</v>
      </c>
    </row>
    <row r="878" spans="1:11">
      <c r="A878" s="1" t="s">
        <v>897</v>
      </c>
      <c r="B878" s="1" t="s">
        <v>15</v>
      </c>
      <c r="C878" s="1" t="s">
        <v>22</v>
      </c>
      <c r="D878" s="10">
        <v>4741</v>
      </c>
      <c r="E878" s="10">
        <v>4774</v>
      </c>
      <c r="F878" s="4">
        <v>168</v>
      </c>
      <c r="G878" s="2">
        <v>45326</v>
      </c>
      <c r="H878" s="21">
        <f t="shared" si="13"/>
        <v>45323</v>
      </c>
      <c r="I878" s="26">
        <v>45329</v>
      </c>
      <c r="J878" s="3">
        <v>7.51</v>
      </c>
      <c r="K878" s="10">
        <f>Table2[[#This Row],[Order Quantity]]*Table2[[#This Row],[Price per Unit]]</f>
        <v>35604.909999999996</v>
      </c>
    </row>
    <row r="879" spans="1:11">
      <c r="A879" s="1" t="s">
        <v>898</v>
      </c>
      <c r="B879" s="1" t="s">
        <v>27</v>
      </c>
      <c r="C879" s="1" t="s">
        <v>22</v>
      </c>
      <c r="D879" s="10">
        <v>2548</v>
      </c>
      <c r="E879" s="10">
        <v>2368</v>
      </c>
      <c r="F879" s="4">
        <v>27</v>
      </c>
      <c r="G879" s="2">
        <v>45636</v>
      </c>
      <c r="H879" s="21">
        <f t="shared" si="13"/>
        <v>45627</v>
      </c>
      <c r="I879" s="26">
        <v>45643</v>
      </c>
      <c r="J879" s="3">
        <v>22.23</v>
      </c>
      <c r="K879" s="10">
        <f>Table2[[#This Row],[Order Quantity]]*Table2[[#This Row],[Price per Unit]]</f>
        <v>56642.04</v>
      </c>
    </row>
    <row r="880" spans="1:11">
      <c r="A880" s="1" t="s">
        <v>899</v>
      </c>
      <c r="B880" s="1" t="s">
        <v>25</v>
      </c>
      <c r="C880" s="1" t="s">
        <v>13</v>
      </c>
      <c r="D880" s="10">
        <v>2261</v>
      </c>
      <c r="E880" s="10">
        <v>2247</v>
      </c>
      <c r="F880" s="4">
        <v>149</v>
      </c>
      <c r="G880" s="2">
        <v>45473</v>
      </c>
      <c r="H880" s="21">
        <f t="shared" si="13"/>
        <v>45444</v>
      </c>
      <c r="I880" s="26">
        <v>45473</v>
      </c>
      <c r="J880" s="3">
        <v>17.23</v>
      </c>
      <c r="K880" s="10">
        <f>Table2[[#This Row],[Order Quantity]]*Table2[[#This Row],[Price per Unit]]</f>
        <v>38957.03</v>
      </c>
    </row>
    <row r="881" spans="1:11">
      <c r="A881" s="1" t="s">
        <v>900</v>
      </c>
      <c r="B881" s="1" t="s">
        <v>18</v>
      </c>
      <c r="C881" s="1" t="s">
        <v>45</v>
      </c>
      <c r="D881" s="10">
        <v>3388</v>
      </c>
      <c r="E881" s="10">
        <v>3339</v>
      </c>
      <c r="F881" s="4">
        <v>75</v>
      </c>
      <c r="G881" s="2">
        <v>45527</v>
      </c>
      <c r="H881" s="21">
        <f t="shared" si="13"/>
        <v>45505</v>
      </c>
      <c r="I881" s="26">
        <v>45534</v>
      </c>
      <c r="J881" s="3">
        <v>10.38</v>
      </c>
      <c r="K881" s="10">
        <f>Table2[[#This Row],[Order Quantity]]*Table2[[#This Row],[Price per Unit]]</f>
        <v>35167.440000000002</v>
      </c>
    </row>
    <row r="882" spans="1:11">
      <c r="A882" s="1" t="s">
        <v>901</v>
      </c>
      <c r="B882" s="1" t="s">
        <v>25</v>
      </c>
      <c r="C882" s="1" t="s">
        <v>45</v>
      </c>
      <c r="D882" s="10">
        <v>1962</v>
      </c>
      <c r="E882" s="10">
        <v>1879</v>
      </c>
      <c r="F882" s="4">
        <v>76</v>
      </c>
      <c r="G882" s="2">
        <v>45312</v>
      </c>
      <c r="H882" s="21">
        <f t="shared" si="13"/>
        <v>45292</v>
      </c>
      <c r="I882" s="26">
        <v>45312</v>
      </c>
      <c r="J882" s="3">
        <v>16.88</v>
      </c>
      <c r="K882" s="10">
        <f>Table2[[#This Row],[Order Quantity]]*Table2[[#This Row],[Price per Unit]]</f>
        <v>33118.559999999998</v>
      </c>
    </row>
    <row r="883" spans="1:11">
      <c r="A883" s="1" t="s">
        <v>902</v>
      </c>
      <c r="B883" s="1" t="s">
        <v>15</v>
      </c>
      <c r="C883" s="1" t="s">
        <v>20</v>
      </c>
      <c r="D883" s="10">
        <v>2014</v>
      </c>
      <c r="E883" s="10">
        <v>1839</v>
      </c>
      <c r="F883" s="4">
        <v>40</v>
      </c>
      <c r="G883" s="2">
        <v>45535</v>
      </c>
      <c r="H883" s="21">
        <f t="shared" si="13"/>
        <v>45505</v>
      </c>
      <c r="I883" s="26">
        <v>45535</v>
      </c>
      <c r="J883" s="3">
        <v>15.36</v>
      </c>
      <c r="K883" s="10">
        <f>Table2[[#This Row],[Order Quantity]]*Table2[[#This Row],[Price per Unit]]</f>
        <v>30935.039999999997</v>
      </c>
    </row>
    <row r="884" spans="1:11">
      <c r="A884" s="1" t="s">
        <v>903</v>
      </c>
      <c r="B884" s="1" t="s">
        <v>27</v>
      </c>
      <c r="C884" s="1" t="s">
        <v>16</v>
      </c>
      <c r="D884" s="10">
        <v>3147</v>
      </c>
      <c r="E884" s="10">
        <v>3021</v>
      </c>
      <c r="F884" s="4">
        <v>201</v>
      </c>
      <c r="G884" s="2">
        <v>45482</v>
      </c>
      <c r="H884" s="21">
        <f t="shared" si="13"/>
        <v>45474</v>
      </c>
      <c r="I884" s="26">
        <v>45489</v>
      </c>
      <c r="J884" s="3">
        <v>5.28</v>
      </c>
      <c r="K884" s="10">
        <f>Table2[[#This Row],[Order Quantity]]*Table2[[#This Row],[Price per Unit]]</f>
        <v>16616.16</v>
      </c>
    </row>
    <row r="885" spans="1:11">
      <c r="A885" s="1" t="s">
        <v>904</v>
      </c>
      <c r="B885" s="1" t="s">
        <v>12</v>
      </c>
      <c r="C885" s="1" t="s">
        <v>16</v>
      </c>
      <c r="D885" s="10">
        <v>3168</v>
      </c>
      <c r="E885" s="10">
        <v>3230</v>
      </c>
      <c r="F885" s="4">
        <v>243</v>
      </c>
      <c r="G885" s="2">
        <v>45390</v>
      </c>
      <c r="H885" s="21">
        <f t="shared" si="13"/>
        <v>45383</v>
      </c>
      <c r="I885" s="26">
        <v>45390</v>
      </c>
      <c r="J885" s="3">
        <v>5.4</v>
      </c>
      <c r="K885" s="10">
        <f>Table2[[#This Row],[Order Quantity]]*Table2[[#This Row],[Price per Unit]]</f>
        <v>17107.2</v>
      </c>
    </row>
    <row r="886" spans="1:11">
      <c r="A886" s="1" t="s">
        <v>905</v>
      </c>
      <c r="B886" s="1" t="s">
        <v>12</v>
      </c>
      <c r="C886" s="1" t="s">
        <v>45</v>
      </c>
      <c r="D886" s="10">
        <v>3832</v>
      </c>
      <c r="E886" s="10">
        <v>3773</v>
      </c>
      <c r="F886" s="4">
        <v>212</v>
      </c>
      <c r="G886" s="2">
        <v>45304</v>
      </c>
      <c r="H886" s="21">
        <f t="shared" si="13"/>
        <v>45292</v>
      </c>
      <c r="I886" s="26">
        <v>45305</v>
      </c>
      <c r="J886" s="3">
        <v>18.579999999999998</v>
      </c>
      <c r="K886" s="10">
        <f>Table2[[#This Row],[Order Quantity]]*Table2[[#This Row],[Price per Unit]]</f>
        <v>71198.559999999998</v>
      </c>
    </row>
    <row r="887" spans="1:11">
      <c r="A887" s="1" t="s">
        <v>906</v>
      </c>
      <c r="B887" s="1" t="s">
        <v>15</v>
      </c>
      <c r="C887" s="1" t="s">
        <v>45</v>
      </c>
      <c r="D887" s="10">
        <v>3760</v>
      </c>
      <c r="E887" s="10">
        <v>3545</v>
      </c>
      <c r="F887" s="4">
        <v>253</v>
      </c>
      <c r="G887" s="2">
        <v>45547</v>
      </c>
      <c r="H887" s="21">
        <f t="shared" si="13"/>
        <v>45536</v>
      </c>
      <c r="I887" s="26">
        <v>45547</v>
      </c>
      <c r="J887" s="3">
        <v>5.98</v>
      </c>
      <c r="K887" s="10">
        <f>Table2[[#This Row],[Order Quantity]]*Table2[[#This Row],[Price per Unit]]</f>
        <v>22484.800000000003</v>
      </c>
    </row>
    <row r="888" spans="1:11">
      <c r="A888" s="1" t="s">
        <v>907</v>
      </c>
      <c r="B888" s="1" t="s">
        <v>18</v>
      </c>
      <c r="C888" s="1" t="s">
        <v>16</v>
      </c>
      <c r="D888" s="10">
        <v>1640</v>
      </c>
      <c r="E888" s="10">
        <v>1476</v>
      </c>
      <c r="F888" s="4">
        <v>108</v>
      </c>
      <c r="G888" s="2">
        <v>45455</v>
      </c>
      <c r="H888" s="21">
        <f t="shared" si="13"/>
        <v>45444</v>
      </c>
      <c r="I888" s="26">
        <v>45462</v>
      </c>
      <c r="J888" s="3">
        <v>5.49</v>
      </c>
      <c r="K888" s="10">
        <f>Table2[[#This Row],[Order Quantity]]*Table2[[#This Row],[Price per Unit]]</f>
        <v>9003.6</v>
      </c>
    </row>
    <row r="889" spans="1:11">
      <c r="A889" s="1" t="s">
        <v>908</v>
      </c>
      <c r="B889" s="1" t="s">
        <v>27</v>
      </c>
      <c r="C889" s="1" t="s">
        <v>16</v>
      </c>
      <c r="D889" s="10">
        <v>3839</v>
      </c>
      <c r="E889" s="10">
        <v>3660</v>
      </c>
      <c r="F889" s="4">
        <v>270</v>
      </c>
      <c r="G889" s="2">
        <v>45490</v>
      </c>
      <c r="H889" s="21">
        <f t="shared" si="13"/>
        <v>45474</v>
      </c>
      <c r="I889" s="26">
        <v>45490</v>
      </c>
      <c r="J889" s="3">
        <v>5.81</v>
      </c>
      <c r="K889" s="10">
        <f>Table2[[#This Row],[Order Quantity]]*Table2[[#This Row],[Price per Unit]]</f>
        <v>22304.59</v>
      </c>
    </row>
    <row r="890" spans="1:11">
      <c r="A890" s="1" t="s">
        <v>909</v>
      </c>
      <c r="B890" s="1" t="s">
        <v>27</v>
      </c>
      <c r="C890" s="1" t="s">
        <v>20</v>
      </c>
      <c r="D890" s="10">
        <v>2281</v>
      </c>
      <c r="E890" s="10">
        <v>2193</v>
      </c>
      <c r="F890" s="4">
        <v>54</v>
      </c>
      <c r="G890" s="2">
        <v>45632</v>
      </c>
      <c r="H890" s="21">
        <f t="shared" si="13"/>
        <v>45627</v>
      </c>
      <c r="I890" s="26">
        <v>45637</v>
      </c>
      <c r="J890" s="3">
        <v>24.53</v>
      </c>
      <c r="K890" s="10">
        <f>Table2[[#This Row],[Order Quantity]]*Table2[[#This Row],[Price per Unit]]</f>
        <v>55952.93</v>
      </c>
    </row>
    <row r="891" spans="1:11">
      <c r="A891" s="1" t="s">
        <v>910</v>
      </c>
      <c r="B891" s="1" t="s">
        <v>15</v>
      </c>
      <c r="C891" s="1" t="s">
        <v>20</v>
      </c>
      <c r="D891" s="10">
        <v>4240</v>
      </c>
      <c r="E891" s="10">
        <v>4008</v>
      </c>
      <c r="F891" s="4">
        <v>259</v>
      </c>
      <c r="G891" s="2">
        <v>45380</v>
      </c>
      <c r="H891" s="21">
        <f t="shared" si="13"/>
        <v>45383</v>
      </c>
      <c r="I891" s="26">
        <v>45385</v>
      </c>
      <c r="J891" s="3">
        <v>20.32</v>
      </c>
      <c r="K891" s="10">
        <f>Table2[[#This Row],[Order Quantity]]*Table2[[#This Row],[Price per Unit]]</f>
        <v>86156.800000000003</v>
      </c>
    </row>
    <row r="892" spans="1:11">
      <c r="A892" s="1" t="s">
        <v>911</v>
      </c>
      <c r="B892" s="1" t="s">
        <v>27</v>
      </c>
      <c r="C892" s="1" t="s">
        <v>16</v>
      </c>
      <c r="D892" s="10">
        <v>1287</v>
      </c>
      <c r="E892" s="10">
        <v>1234</v>
      </c>
      <c r="F892" s="4">
        <v>23</v>
      </c>
      <c r="G892" s="2">
        <v>45304</v>
      </c>
      <c r="H892" s="21">
        <f t="shared" si="13"/>
        <v>45292</v>
      </c>
      <c r="I892" s="26">
        <v>45304</v>
      </c>
      <c r="J892" s="3">
        <v>18.43</v>
      </c>
      <c r="K892" s="10">
        <f>Table2[[#This Row],[Order Quantity]]*Table2[[#This Row],[Price per Unit]]</f>
        <v>23719.41</v>
      </c>
    </row>
    <row r="893" spans="1:11">
      <c r="A893" s="1" t="s">
        <v>912</v>
      </c>
      <c r="B893" s="1" t="s">
        <v>27</v>
      </c>
      <c r="C893" s="1" t="s">
        <v>13</v>
      </c>
      <c r="D893" s="10">
        <v>3418</v>
      </c>
      <c r="E893" s="10">
        <v>3400</v>
      </c>
      <c r="F893" s="4">
        <v>206</v>
      </c>
      <c r="G893" s="2">
        <v>45390</v>
      </c>
      <c r="H893" s="21">
        <f t="shared" si="13"/>
        <v>45383</v>
      </c>
      <c r="I893" s="26">
        <v>45390</v>
      </c>
      <c r="J893" s="3">
        <v>12.34</v>
      </c>
      <c r="K893" s="10">
        <f>Table2[[#This Row],[Order Quantity]]*Table2[[#This Row],[Price per Unit]]</f>
        <v>42178.12</v>
      </c>
    </row>
    <row r="894" spans="1:11">
      <c r="A894" s="1" t="s">
        <v>913</v>
      </c>
      <c r="B894" s="1" t="s">
        <v>15</v>
      </c>
      <c r="C894" s="1" t="s">
        <v>20</v>
      </c>
      <c r="D894" s="10">
        <v>3433</v>
      </c>
      <c r="E894" s="10">
        <v>3251</v>
      </c>
      <c r="F894" s="4">
        <v>177</v>
      </c>
      <c r="G894" s="2">
        <v>45609</v>
      </c>
      <c r="H894" s="21">
        <f t="shared" si="13"/>
        <v>45597</v>
      </c>
      <c r="I894" s="26">
        <v>45616</v>
      </c>
      <c r="J894" s="3">
        <v>12.97</v>
      </c>
      <c r="K894" s="10">
        <f>Table2[[#This Row],[Order Quantity]]*Table2[[#This Row],[Price per Unit]]</f>
        <v>44526.01</v>
      </c>
    </row>
    <row r="895" spans="1:11">
      <c r="A895" s="1" t="s">
        <v>914</v>
      </c>
      <c r="B895" s="1" t="s">
        <v>12</v>
      </c>
      <c r="C895" s="1" t="s">
        <v>20</v>
      </c>
      <c r="D895" s="10">
        <v>4979</v>
      </c>
      <c r="E895" s="10">
        <v>5160</v>
      </c>
      <c r="F895" s="4">
        <v>185</v>
      </c>
      <c r="G895" s="2">
        <v>45326</v>
      </c>
      <c r="H895" s="21">
        <f t="shared" si="13"/>
        <v>45323</v>
      </c>
      <c r="I895" s="26">
        <v>45331</v>
      </c>
      <c r="J895" s="3">
        <v>20.03</v>
      </c>
      <c r="K895" s="10">
        <f>Table2[[#This Row],[Order Quantity]]*Table2[[#This Row],[Price per Unit]]</f>
        <v>99729.37000000001</v>
      </c>
    </row>
    <row r="896" spans="1:11">
      <c r="A896" s="1" t="s">
        <v>915</v>
      </c>
      <c r="B896" s="1" t="s">
        <v>12</v>
      </c>
      <c r="C896" s="1" t="s">
        <v>16</v>
      </c>
      <c r="D896" s="10">
        <v>3417</v>
      </c>
      <c r="E896" s="10">
        <v>3404</v>
      </c>
      <c r="F896" s="4">
        <v>40</v>
      </c>
      <c r="G896" s="2">
        <v>45435</v>
      </c>
      <c r="H896" s="21">
        <f t="shared" si="13"/>
        <v>45413</v>
      </c>
      <c r="I896" s="26">
        <v>45440</v>
      </c>
      <c r="J896" s="3">
        <v>20.76</v>
      </c>
      <c r="K896" s="10">
        <f>Table2[[#This Row],[Order Quantity]]*Table2[[#This Row],[Price per Unit]]</f>
        <v>70936.92</v>
      </c>
    </row>
    <row r="897" spans="1:11">
      <c r="A897" s="1" t="s">
        <v>916</v>
      </c>
      <c r="B897" s="1" t="s">
        <v>12</v>
      </c>
      <c r="C897" s="1" t="s">
        <v>20</v>
      </c>
      <c r="D897" s="10">
        <v>4827</v>
      </c>
      <c r="E897" s="10">
        <v>4932</v>
      </c>
      <c r="F897" s="4">
        <v>77</v>
      </c>
      <c r="G897" s="2">
        <v>45374</v>
      </c>
      <c r="H897" s="21">
        <f t="shared" si="13"/>
        <v>45352</v>
      </c>
      <c r="I897" s="26">
        <v>45374</v>
      </c>
      <c r="J897" s="3">
        <v>17</v>
      </c>
      <c r="K897" s="10">
        <f>Table2[[#This Row],[Order Quantity]]*Table2[[#This Row],[Price per Unit]]</f>
        <v>82059</v>
      </c>
    </row>
    <row r="898" spans="1:11">
      <c r="A898" s="1" t="s">
        <v>917</v>
      </c>
      <c r="B898" s="1" t="s">
        <v>18</v>
      </c>
      <c r="C898" s="1" t="s">
        <v>16</v>
      </c>
      <c r="D898" s="10">
        <v>1796</v>
      </c>
      <c r="E898" s="10">
        <v>1697</v>
      </c>
      <c r="F898" s="4">
        <v>118</v>
      </c>
      <c r="G898" s="2">
        <v>45325</v>
      </c>
      <c r="H898" s="21">
        <f t="shared" ref="H898:H961" si="14">DATE(YEAR(I898), MONTH(I898), 1)</f>
        <v>45323</v>
      </c>
      <c r="I898" s="26">
        <v>45326</v>
      </c>
      <c r="J898" s="3">
        <v>22.14</v>
      </c>
      <c r="K898" s="10">
        <f>Table2[[#This Row],[Order Quantity]]*Table2[[#This Row],[Price per Unit]]</f>
        <v>39763.440000000002</v>
      </c>
    </row>
    <row r="899" spans="1:11">
      <c r="A899" s="1" t="s">
        <v>918</v>
      </c>
      <c r="B899" s="1" t="s">
        <v>12</v>
      </c>
      <c r="C899" s="1" t="s">
        <v>45</v>
      </c>
      <c r="D899" s="10">
        <v>4492</v>
      </c>
      <c r="E899" s="10">
        <v>4657</v>
      </c>
      <c r="F899" s="4">
        <v>78</v>
      </c>
      <c r="G899" s="2">
        <v>45417</v>
      </c>
      <c r="H899" s="21">
        <f t="shared" si="14"/>
        <v>45413</v>
      </c>
      <c r="I899" s="26">
        <v>45417</v>
      </c>
      <c r="J899" s="3">
        <v>22.07</v>
      </c>
      <c r="K899" s="10">
        <f>Table2[[#This Row],[Order Quantity]]*Table2[[#This Row],[Price per Unit]]</f>
        <v>99138.44</v>
      </c>
    </row>
    <row r="900" spans="1:11">
      <c r="A900" s="1" t="s">
        <v>919</v>
      </c>
      <c r="B900" s="1" t="s">
        <v>12</v>
      </c>
      <c r="C900" s="1" t="s">
        <v>22</v>
      </c>
      <c r="D900" s="10">
        <v>1962</v>
      </c>
      <c r="E900" s="10">
        <v>1913</v>
      </c>
      <c r="F900" s="4">
        <v>105</v>
      </c>
      <c r="G900" s="2">
        <v>45406</v>
      </c>
      <c r="H900" s="21">
        <f t="shared" si="14"/>
        <v>45383</v>
      </c>
      <c r="I900" s="26">
        <v>45409</v>
      </c>
      <c r="J900" s="3">
        <v>15.21</v>
      </c>
      <c r="K900" s="10">
        <f>Table2[[#This Row],[Order Quantity]]*Table2[[#This Row],[Price per Unit]]</f>
        <v>29842.02</v>
      </c>
    </row>
    <row r="901" spans="1:11">
      <c r="A901" s="1" t="s">
        <v>920</v>
      </c>
      <c r="B901" s="1" t="s">
        <v>27</v>
      </c>
      <c r="C901" s="1" t="s">
        <v>22</v>
      </c>
      <c r="D901" s="10">
        <v>4053</v>
      </c>
      <c r="E901" s="10">
        <v>3686</v>
      </c>
      <c r="F901" s="4">
        <v>82</v>
      </c>
      <c r="G901" s="2">
        <v>45381</v>
      </c>
      <c r="H901" s="21">
        <f t="shared" si="14"/>
        <v>45383</v>
      </c>
      <c r="I901" s="26">
        <v>45388</v>
      </c>
      <c r="J901" s="3">
        <v>5.0999999999999996</v>
      </c>
      <c r="K901" s="10">
        <f>Table2[[#This Row],[Order Quantity]]*Table2[[#This Row],[Price per Unit]]</f>
        <v>20670.3</v>
      </c>
    </row>
    <row r="902" spans="1:11">
      <c r="A902" s="1" t="s">
        <v>921</v>
      </c>
      <c r="B902" s="1" t="s">
        <v>18</v>
      </c>
      <c r="C902" s="1" t="s">
        <v>20</v>
      </c>
      <c r="D902" s="10">
        <v>1707</v>
      </c>
      <c r="E902" s="10">
        <v>1596</v>
      </c>
      <c r="F902" s="4">
        <v>121</v>
      </c>
      <c r="G902" s="2">
        <v>45403</v>
      </c>
      <c r="H902" s="21">
        <f t="shared" si="14"/>
        <v>45383</v>
      </c>
      <c r="I902" s="26">
        <v>45410</v>
      </c>
      <c r="J902" s="3">
        <v>22.43</v>
      </c>
      <c r="K902" s="10">
        <f>Table2[[#This Row],[Order Quantity]]*Table2[[#This Row],[Price per Unit]]</f>
        <v>38288.01</v>
      </c>
    </row>
    <row r="903" spans="1:11">
      <c r="A903" s="1" t="s">
        <v>922</v>
      </c>
      <c r="B903" s="1" t="s">
        <v>12</v>
      </c>
      <c r="C903" s="1" t="s">
        <v>45</v>
      </c>
      <c r="D903" s="10">
        <v>4297</v>
      </c>
      <c r="E903" s="10">
        <v>4420</v>
      </c>
      <c r="F903" s="4">
        <v>84</v>
      </c>
      <c r="G903" s="2">
        <v>45482</v>
      </c>
      <c r="H903" s="21">
        <f t="shared" si="14"/>
        <v>45474</v>
      </c>
      <c r="I903" s="26">
        <v>45489</v>
      </c>
      <c r="J903" s="3">
        <v>19.100000000000001</v>
      </c>
      <c r="K903" s="10">
        <f>Table2[[#This Row],[Order Quantity]]*Table2[[#This Row],[Price per Unit]]</f>
        <v>82072.700000000012</v>
      </c>
    </row>
    <row r="904" spans="1:11">
      <c r="A904" s="1" t="s">
        <v>923</v>
      </c>
      <c r="B904" s="1" t="s">
        <v>25</v>
      </c>
      <c r="C904" s="1" t="s">
        <v>13</v>
      </c>
      <c r="D904" s="10">
        <v>1835</v>
      </c>
      <c r="E904" s="10">
        <v>1829</v>
      </c>
      <c r="F904" s="4">
        <v>98</v>
      </c>
      <c r="G904" s="2">
        <v>45528</v>
      </c>
      <c r="H904" s="21">
        <f t="shared" si="14"/>
        <v>45505</v>
      </c>
      <c r="I904" s="26">
        <v>45535</v>
      </c>
      <c r="J904" s="3">
        <v>17.77</v>
      </c>
      <c r="K904" s="10">
        <f>Table2[[#This Row],[Order Quantity]]*Table2[[#This Row],[Price per Unit]]</f>
        <v>32607.95</v>
      </c>
    </row>
    <row r="905" spans="1:11">
      <c r="A905" s="1" t="s">
        <v>924</v>
      </c>
      <c r="B905" s="1" t="s">
        <v>27</v>
      </c>
      <c r="C905" s="1" t="s">
        <v>13</v>
      </c>
      <c r="D905" s="10">
        <v>2830</v>
      </c>
      <c r="E905" s="10">
        <v>2954</v>
      </c>
      <c r="F905" s="4">
        <v>74</v>
      </c>
      <c r="G905" s="2">
        <v>45378</v>
      </c>
      <c r="H905" s="21">
        <f t="shared" si="14"/>
        <v>45352</v>
      </c>
      <c r="I905" s="26">
        <v>45378</v>
      </c>
      <c r="J905" s="3">
        <v>6.76</v>
      </c>
      <c r="K905" s="10">
        <f>Table2[[#This Row],[Order Quantity]]*Table2[[#This Row],[Price per Unit]]</f>
        <v>19130.8</v>
      </c>
    </row>
    <row r="906" spans="1:11">
      <c r="A906" s="1" t="s">
        <v>925</v>
      </c>
      <c r="B906" s="1" t="s">
        <v>18</v>
      </c>
      <c r="C906" s="1" t="s">
        <v>20</v>
      </c>
      <c r="D906" s="10">
        <v>1189</v>
      </c>
      <c r="E906" s="10">
        <v>1141</v>
      </c>
      <c r="F906" s="4">
        <v>57</v>
      </c>
      <c r="G906" s="2">
        <v>45500</v>
      </c>
      <c r="H906" s="21">
        <f t="shared" si="14"/>
        <v>45474</v>
      </c>
      <c r="I906" s="26">
        <v>45500</v>
      </c>
      <c r="J906" s="3">
        <v>11.16</v>
      </c>
      <c r="K906" s="10">
        <f>Table2[[#This Row],[Order Quantity]]*Table2[[#This Row],[Price per Unit]]</f>
        <v>13269.24</v>
      </c>
    </row>
    <row r="907" spans="1:11">
      <c r="A907" s="1" t="s">
        <v>926</v>
      </c>
      <c r="B907" s="1" t="s">
        <v>27</v>
      </c>
      <c r="C907" s="1" t="s">
        <v>22</v>
      </c>
      <c r="D907" s="10">
        <v>4003</v>
      </c>
      <c r="E907" s="10">
        <v>4100</v>
      </c>
      <c r="F907" s="4">
        <v>279</v>
      </c>
      <c r="G907" s="2">
        <v>45390</v>
      </c>
      <c r="H907" s="21">
        <f t="shared" si="14"/>
        <v>45383</v>
      </c>
      <c r="I907" s="26">
        <v>45391</v>
      </c>
      <c r="J907" s="3">
        <v>19.190000000000001</v>
      </c>
      <c r="K907" s="10">
        <f>Table2[[#This Row],[Order Quantity]]*Table2[[#This Row],[Price per Unit]]</f>
        <v>76817.570000000007</v>
      </c>
    </row>
    <row r="908" spans="1:11">
      <c r="A908" s="1" t="s">
        <v>927</v>
      </c>
      <c r="B908" s="1" t="s">
        <v>12</v>
      </c>
      <c r="C908" s="1" t="s">
        <v>13</v>
      </c>
      <c r="D908" s="10">
        <v>946</v>
      </c>
      <c r="E908" s="10">
        <v>951</v>
      </c>
      <c r="F908" s="4">
        <v>70</v>
      </c>
      <c r="G908" s="2">
        <v>45315</v>
      </c>
      <c r="H908" s="21">
        <f t="shared" si="14"/>
        <v>45292</v>
      </c>
      <c r="I908" s="26">
        <v>45316</v>
      </c>
      <c r="J908" s="3">
        <v>7.84</v>
      </c>
      <c r="K908" s="10">
        <f>Table2[[#This Row],[Order Quantity]]*Table2[[#This Row],[Price per Unit]]</f>
        <v>7416.6399999999994</v>
      </c>
    </row>
    <row r="909" spans="1:11">
      <c r="A909" s="1" t="s">
        <v>928</v>
      </c>
      <c r="B909" s="1" t="s">
        <v>25</v>
      </c>
      <c r="C909" s="1" t="s">
        <v>22</v>
      </c>
      <c r="D909" s="10">
        <v>1573</v>
      </c>
      <c r="E909" s="10">
        <v>1487</v>
      </c>
      <c r="F909" s="4">
        <v>48</v>
      </c>
      <c r="G909" s="2">
        <v>45318</v>
      </c>
      <c r="H909" s="21">
        <f t="shared" si="14"/>
        <v>45323</v>
      </c>
      <c r="I909" s="26">
        <v>45323</v>
      </c>
      <c r="J909" s="3">
        <v>6.42</v>
      </c>
      <c r="K909" s="10">
        <f>Table2[[#This Row],[Order Quantity]]*Table2[[#This Row],[Price per Unit]]</f>
        <v>10098.66</v>
      </c>
    </row>
    <row r="910" spans="1:11">
      <c r="A910" s="1" t="s">
        <v>929</v>
      </c>
      <c r="B910" s="1" t="s">
        <v>25</v>
      </c>
      <c r="C910" s="1" t="s">
        <v>45</v>
      </c>
      <c r="D910" s="10">
        <v>2794</v>
      </c>
      <c r="E910" s="10">
        <v>2627</v>
      </c>
      <c r="F910" s="4">
        <v>72</v>
      </c>
      <c r="G910" s="2">
        <v>45652</v>
      </c>
      <c r="H910" s="21">
        <f t="shared" si="14"/>
        <v>45627</v>
      </c>
      <c r="I910" s="26">
        <v>45652</v>
      </c>
      <c r="J910" s="3">
        <v>23.84</v>
      </c>
      <c r="K910" s="10">
        <f>Table2[[#This Row],[Order Quantity]]*Table2[[#This Row],[Price per Unit]]</f>
        <v>66608.960000000006</v>
      </c>
    </row>
    <row r="911" spans="1:11">
      <c r="A911" s="1" t="s">
        <v>930</v>
      </c>
      <c r="B911" s="1" t="s">
        <v>27</v>
      </c>
      <c r="C911" s="1" t="s">
        <v>45</v>
      </c>
      <c r="D911" s="10">
        <v>1483</v>
      </c>
      <c r="E911" s="10">
        <v>1552</v>
      </c>
      <c r="F911" s="4">
        <v>78</v>
      </c>
      <c r="G911" s="2">
        <v>45532</v>
      </c>
      <c r="H911" s="21">
        <f t="shared" si="14"/>
        <v>45505</v>
      </c>
      <c r="I911" s="26">
        <v>45534</v>
      </c>
      <c r="J911" s="3">
        <v>24.91</v>
      </c>
      <c r="K911" s="10">
        <f>Table2[[#This Row],[Order Quantity]]*Table2[[#This Row],[Price per Unit]]</f>
        <v>36941.53</v>
      </c>
    </row>
    <row r="912" spans="1:11">
      <c r="A912" s="1" t="s">
        <v>931</v>
      </c>
      <c r="B912" s="1" t="s">
        <v>25</v>
      </c>
      <c r="C912" s="1" t="s">
        <v>22</v>
      </c>
      <c r="D912" s="10">
        <v>1524</v>
      </c>
      <c r="E912" s="10">
        <v>1384</v>
      </c>
      <c r="F912" s="4">
        <v>38</v>
      </c>
      <c r="G912" s="2">
        <v>45640</v>
      </c>
      <c r="H912" s="21">
        <f t="shared" si="14"/>
        <v>45627</v>
      </c>
      <c r="I912" s="26">
        <v>45640</v>
      </c>
      <c r="J912" s="3">
        <v>15.55</v>
      </c>
      <c r="K912" s="10">
        <f>Table2[[#This Row],[Order Quantity]]*Table2[[#This Row],[Price per Unit]]</f>
        <v>23698.2</v>
      </c>
    </row>
    <row r="913" spans="1:11">
      <c r="A913" s="1" t="s">
        <v>932</v>
      </c>
      <c r="B913" s="1" t="s">
        <v>18</v>
      </c>
      <c r="C913" s="1" t="s">
        <v>22</v>
      </c>
      <c r="D913" s="10">
        <v>1605</v>
      </c>
      <c r="E913" s="10">
        <v>1550</v>
      </c>
      <c r="F913" s="4">
        <v>110</v>
      </c>
      <c r="G913" s="2">
        <v>45544</v>
      </c>
      <c r="H913" s="21">
        <f t="shared" si="14"/>
        <v>45536</v>
      </c>
      <c r="I913" s="26">
        <v>45544</v>
      </c>
      <c r="J913" s="3">
        <v>15.11</v>
      </c>
      <c r="K913" s="10">
        <f>Table2[[#This Row],[Order Quantity]]*Table2[[#This Row],[Price per Unit]]</f>
        <v>24251.55</v>
      </c>
    </row>
    <row r="914" spans="1:11">
      <c r="A914" s="1" t="s">
        <v>933</v>
      </c>
      <c r="B914" s="1" t="s">
        <v>18</v>
      </c>
      <c r="C914" s="1" t="s">
        <v>20</v>
      </c>
      <c r="D914" s="10">
        <v>2561</v>
      </c>
      <c r="E914" s="10">
        <v>2682</v>
      </c>
      <c r="F914" s="4">
        <v>73</v>
      </c>
      <c r="G914" s="2">
        <v>45380</v>
      </c>
      <c r="H914" s="21">
        <f t="shared" si="14"/>
        <v>45383</v>
      </c>
      <c r="I914" s="26">
        <v>45387</v>
      </c>
      <c r="J914" s="3">
        <v>6.47</v>
      </c>
      <c r="K914" s="10">
        <f>Table2[[#This Row],[Order Quantity]]*Table2[[#This Row],[Price per Unit]]</f>
        <v>16569.669999999998</v>
      </c>
    </row>
    <row r="915" spans="1:11">
      <c r="A915" s="1" t="s">
        <v>934</v>
      </c>
      <c r="B915" s="1" t="s">
        <v>25</v>
      </c>
      <c r="C915" s="1" t="s">
        <v>20</v>
      </c>
      <c r="D915" s="10">
        <v>3665</v>
      </c>
      <c r="E915" s="10">
        <v>3526</v>
      </c>
      <c r="F915" s="4">
        <v>139</v>
      </c>
      <c r="G915" s="2">
        <v>45582</v>
      </c>
      <c r="H915" s="21">
        <f t="shared" si="14"/>
        <v>45566</v>
      </c>
      <c r="I915" s="26">
        <v>45584</v>
      </c>
      <c r="J915" s="3">
        <v>20.7</v>
      </c>
      <c r="K915" s="10">
        <f>Table2[[#This Row],[Order Quantity]]*Table2[[#This Row],[Price per Unit]]</f>
        <v>75865.5</v>
      </c>
    </row>
    <row r="916" spans="1:11">
      <c r="A916" s="1" t="s">
        <v>935</v>
      </c>
      <c r="B916" s="1" t="s">
        <v>27</v>
      </c>
      <c r="C916" s="1" t="s">
        <v>13</v>
      </c>
      <c r="D916" s="10">
        <v>3181</v>
      </c>
      <c r="E916" s="10">
        <v>3184</v>
      </c>
      <c r="F916" s="4">
        <v>62</v>
      </c>
      <c r="G916" s="2">
        <v>45421</v>
      </c>
      <c r="H916" s="21">
        <f t="shared" si="14"/>
        <v>45413</v>
      </c>
      <c r="I916" s="26">
        <v>45422</v>
      </c>
      <c r="J916" s="3">
        <v>10.54</v>
      </c>
      <c r="K916" s="10">
        <f>Table2[[#This Row],[Order Quantity]]*Table2[[#This Row],[Price per Unit]]</f>
        <v>33527.74</v>
      </c>
    </row>
    <row r="917" spans="1:11">
      <c r="A917" s="1" t="s">
        <v>936</v>
      </c>
      <c r="B917" s="1" t="s">
        <v>12</v>
      </c>
      <c r="C917" s="1" t="s">
        <v>13</v>
      </c>
      <c r="D917" s="10">
        <v>1096</v>
      </c>
      <c r="E917" s="10">
        <v>1095</v>
      </c>
      <c r="F917" s="4">
        <v>68</v>
      </c>
      <c r="G917" s="2">
        <v>45616</v>
      </c>
      <c r="H917" s="21">
        <f t="shared" si="14"/>
        <v>45597</v>
      </c>
      <c r="I917" s="26">
        <v>45618</v>
      </c>
      <c r="J917" s="3">
        <v>11.23</v>
      </c>
      <c r="K917" s="10">
        <f>Table2[[#This Row],[Order Quantity]]*Table2[[#This Row],[Price per Unit]]</f>
        <v>12308.08</v>
      </c>
    </row>
    <row r="918" spans="1:11">
      <c r="A918" s="1" t="s">
        <v>937</v>
      </c>
      <c r="B918" s="1" t="s">
        <v>25</v>
      </c>
      <c r="C918" s="1" t="s">
        <v>45</v>
      </c>
      <c r="D918" s="10">
        <v>4231</v>
      </c>
      <c r="E918" s="10">
        <v>3808</v>
      </c>
      <c r="F918" s="4">
        <v>138</v>
      </c>
      <c r="G918" s="2">
        <v>45492</v>
      </c>
      <c r="H918" s="21">
        <f t="shared" si="14"/>
        <v>45474</v>
      </c>
      <c r="I918" s="26">
        <v>45494</v>
      </c>
      <c r="J918" s="3">
        <v>16.420000000000002</v>
      </c>
      <c r="K918" s="10">
        <f>Table2[[#This Row],[Order Quantity]]*Table2[[#This Row],[Price per Unit]]</f>
        <v>69473.02</v>
      </c>
    </row>
    <row r="919" spans="1:11">
      <c r="A919" s="1" t="s">
        <v>938</v>
      </c>
      <c r="B919" s="1" t="s">
        <v>27</v>
      </c>
      <c r="C919" s="1" t="s">
        <v>45</v>
      </c>
      <c r="D919" s="10">
        <v>1949</v>
      </c>
      <c r="E919" s="10">
        <v>1818</v>
      </c>
      <c r="F919" s="4">
        <v>18</v>
      </c>
      <c r="G919" s="2">
        <v>45611</v>
      </c>
      <c r="H919" s="21">
        <f t="shared" si="14"/>
        <v>45597</v>
      </c>
      <c r="I919" s="26">
        <v>45614</v>
      </c>
      <c r="J919" s="3">
        <v>23.3</v>
      </c>
      <c r="K919" s="10">
        <f>Table2[[#This Row],[Order Quantity]]*Table2[[#This Row],[Price per Unit]]</f>
        <v>45411.700000000004</v>
      </c>
    </row>
    <row r="920" spans="1:11">
      <c r="A920" s="1" t="s">
        <v>939</v>
      </c>
      <c r="B920" s="1" t="s">
        <v>12</v>
      </c>
      <c r="C920" s="1" t="s">
        <v>22</v>
      </c>
      <c r="D920" s="10">
        <v>3221</v>
      </c>
      <c r="E920" s="10">
        <v>2979</v>
      </c>
      <c r="F920" s="4">
        <v>54</v>
      </c>
      <c r="G920" s="2">
        <v>45309</v>
      </c>
      <c r="H920" s="21">
        <f t="shared" si="14"/>
        <v>45292</v>
      </c>
      <c r="I920" s="26">
        <v>45314</v>
      </c>
      <c r="J920" s="3">
        <v>6.35</v>
      </c>
      <c r="K920" s="10">
        <f>Table2[[#This Row],[Order Quantity]]*Table2[[#This Row],[Price per Unit]]</f>
        <v>20453.349999999999</v>
      </c>
    </row>
    <row r="921" spans="1:11">
      <c r="A921" s="1" t="s">
        <v>940</v>
      </c>
      <c r="B921" s="1" t="s">
        <v>12</v>
      </c>
      <c r="C921" s="1" t="s">
        <v>13</v>
      </c>
      <c r="D921" s="10">
        <v>1012</v>
      </c>
      <c r="E921" s="10">
        <v>928</v>
      </c>
      <c r="F921" s="4">
        <v>42</v>
      </c>
      <c r="G921" s="2">
        <v>45462</v>
      </c>
      <c r="H921" s="21">
        <f t="shared" si="14"/>
        <v>45444</v>
      </c>
      <c r="I921" s="26">
        <v>45462</v>
      </c>
      <c r="J921" s="3">
        <v>11.98</v>
      </c>
      <c r="K921" s="10">
        <f>Table2[[#This Row],[Order Quantity]]*Table2[[#This Row],[Price per Unit]]</f>
        <v>12123.76</v>
      </c>
    </row>
    <row r="922" spans="1:11">
      <c r="A922" s="1" t="s">
        <v>941</v>
      </c>
      <c r="B922" s="1" t="s">
        <v>15</v>
      </c>
      <c r="C922" s="1" t="s">
        <v>22</v>
      </c>
      <c r="D922" s="10">
        <v>2067</v>
      </c>
      <c r="E922" s="10">
        <v>2080</v>
      </c>
      <c r="F922" s="4">
        <v>54</v>
      </c>
      <c r="G922" s="2">
        <v>45479</v>
      </c>
      <c r="H922" s="21">
        <f t="shared" si="14"/>
        <v>45474</v>
      </c>
      <c r="I922" s="26">
        <v>45482</v>
      </c>
      <c r="J922" s="3">
        <v>19.989999999999998</v>
      </c>
      <c r="K922" s="10">
        <f>Table2[[#This Row],[Order Quantity]]*Table2[[#This Row],[Price per Unit]]</f>
        <v>41319.329999999994</v>
      </c>
    </row>
    <row r="923" spans="1:11">
      <c r="A923" s="1" t="s">
        <v>942</v>
      </c>
      <c r="B923" s="1" t="s">
        <v>27</v>
      </c>
      <c r="C923" s="1" t="s">
        <v>16</v>
      </c>
      <c r="D923" s="10">
        <v>2865</v>
      </c>
      <c r="E923" s="10">
        <v>2678</v>
      </c>
      <c r="F923" s="4">
        <v>36</v>
      </c>
      <c r="G923" s="2">
        <v>45347</v>
      </c>
      <c r="H923" s="21">
        <f t="shared" si="14"/>
        <v>45323</v>
      </c>
      <c r="I923" s="26">
        <v>45347</v>
      </c>
      <c r="J923" s="3">
        <v>8.8000000000000007</v>
      </c>
      <c r="K923" s="10">
        <f>Table2[[#This Row],[Order Quantity]]*Table2[[#This Row],[Price per Unit]]</f>
        <v>25212.000000000004</v>
      </c>
    </row>
    <row r="924" spans="1:11">
      <c r="A924" s="1" t="s">
        <v>943</v>
      </c>
      <c r="B924" s="1" t="s">
        <v>15</v>
      </c>
      <c r="C924" s="1" t="s">
        <v>45</v>
      </c>
      <c r="D924" s="10">
        <v>4011</v>
      </c>
      <c r="E924" s="10">
        <v>4092</v>
      </c>
      <c r="F924" s="4">
        <v>138</v>
      </c>
      <c r="G924" s="2">
        <v>45586</v>
      </c>
      <c r="H924" s="21">
        <f t="shared" si="14"/>
        <v>45566</v>
      </c>
      <c r="I924" s="26">
        <v>45588</v>
      </c>
      <c r="J924" s="3">
        <v>13.88</v>
      </c>
      <c r="K924" s="10">
        <f>Table2[[#This Row],[Order Quantity]]*Table2[[#This Row],[Price per Unit]]</f>
        <v>55672.68</v>
      </c>
    </row>
    <row r="925" spans="1:11">
      <c r="A925" s="1" t="s">
        <v>944</v>
      </c>
      <c r="B925" s="1" t="s">
        <v>12</v>
      </c>
      <c r="C925" s="1" t="s">
        <v>16</v>
      </c>
      <c r="D925" s="10">
        <v>925</v>
      </c>
      <c r="E925" s="10">
        <v>954</v>
      </c>
      <c r="F925" s="4">
        <v>61</v>
      </c>
      <c r="G925" s="2">
        <v>45577</v>
      </c>
      <c r="H925" s="21">
        <f t="shared" si="14"/>
        <v>45566</v>
      </c>
      <c r="I925" s="26">
        <v>45577</v>
      </c>
      <c r="J925" s="3">
        <v>18.43</v>
      </c>
      <c r="K925" s="10">
        <f>Table2[[#This Row],[Order Quantity]]*Table2[[#This Row],[Price per Unit]]</f>
        <v>17047.75</v>
      </c>
    </row>
    <row r="926" spans="1:11">
      <c r="A926" s="1" t="s">
        <v>945</v>
      </c>
      <c r="B926" s="1" t="s">
        <v>12</v>
      </c>
      <c r="C926" s="1" t="s">
        <v>20</v>
      </c>
      <c r="D926" s="10">
        <v>1325</v>
      </c>
      <c r="E926" s="10">
        <v>1199</v>
      </c>
      <c r="F926" s="4">
        <v>79</v>
      </c>
      <c r="G926" s="2">
        <v>45554</v>
      </c>
      <c r="H926" s="21">
        <f t="shared" si="14"/>
        <v>45536</v>
      </c>
      <c r="I926" s="26">
        <v>45561</v>
      </c>
      <c r="J926" s="3">
        <v>11.41</v>
      </c>
      <c r="K926" s="10">
        <f>Table2[[#This Row],[Order Quantity]]*Table2[[#This Row],[Price per Unit]]</f>
        <v>15118.25</v>
      </c>
    </row>
    <row r="927" spans="1:11">
      <c r="A927" s="1" t="s">
        <v>946</v>
      </c>
      <c r="B927" s="1" t="s">
        <v>25</v>
      </c>
      <c r="C927" s="1" t="s">
        <v>45</v>
      </c>
      <c r="D927" s="10">
        <v>4077</v>
      </c>
      <c r="E927" s="10">
        <v>3998</v>
      </c>
      <c r="F927" s="4">
        <v>317</v>
      </c>
      <c r="G927" s="2">
        <v>45654</v>
      </c>
      <c r="H927" s="21">
        <f t="shared" si="14"/>
        <v>45627</v>
      </c>
      <c r="I927" s="26">
        <v>45656</v>
      </c>
      <c r="J927" s="3">
        <v>22.15</v>
      </c>
      <c r="K927" s="10">
        <f>Table2[[#This Row],[Order Quantity]]*Table2[[#This Row],[Price per Unit]]</f>
        <v>90305.549999999988</v>
      </c>
    </row>
    <row r="928" spans="1:11">
      <c r="A928" s="1" t="s">
        <v>947</v>
      </c>
      <c r="B928" s="1" t="s">
        <v>25</v>
      </c>
      <c r="C928" s="1" t="s">
        <v>16</v>
      </c>
      <c r="D928" s="10">
        <v>3464</v>
      </c>
      <c r="E928" s="10">
        <v>3395</v>
      </c>
      <c r="F928" s="4">
        <v>238</v>
      </c>
      <c r="G928" s="2">
        <v>45589</v>
      </c>
      <c r="H928" s="21">
        <f t="shared" si="14"/>
        <v>45566</v>
      </c>
      <c r="I928" s="26">
        <v>45589</v>
      </c>
      <c r="J928" s="3">
        <v>11.52</v>
      </c>
      <c r="K928" s="10">
        <f>Table2[[#This Row],[Order Quantity]]*Table2[[#This Row],[Price per Unit]]</f>
        <v>39905.279999999999</v>
      </c>
    </row>
    <row r="929" spans="1:11">
      <c r="A929" s="1" t="s">
        <v>948</v>
      </c>
      <c r="B929" s="1" t="s">
        <v>27</v>
      </c>
      <c r="C929" s="1" t="s">
        <v>13</v>
      </c>
      <c r="D929" s="10">
        <v>3238</v>
      </c>
      <c r="E929" s="10">
        <v>2923</v>
      </c>
      <c r="F929" s="4">
        <v>214</v>
      </c>
      <c r="G929" s="2">
        <v>45619</v>
      </c>
      <c r="H929" s="21">
        <f t="shared" si="14"/>
        <v>45597</v>
      </c>
      <c r="I929" s="26">
        <v>45619</v>
      </c>
      <c r="J929" s="3">
        <v>6.37</v>
      </c>
      <c r="K929" s="10">
        <f>Table2[[#This Row],[Order Quantity]]*Table2[[#This Row],[Price per Unit]]</f>
        <v>20626.060000000001</v>
      </c>
    </row>
    <row r="930" spans="1:11">
      <c r="A930" s="1" t="s">
        <v>949</v>
      </c>
      <c r="B930" s="1" t="s">
        <v>25</v>
      </c>
      <c r="C930" s="1" t="s">
        <v>13</v>
      </c>
      <c r="D930" s="10">
        <v>740</v>
      </c>
      <c r="E930" s="10">
        <v>681</v>
      </c>
      <c r="F930" s="4">
        <v>32</v>
      </c>
      <c r="G930" s="2">
        <v>45610</v>
      </c>
      <c r="H930" s="21">
        <f t="shared" si="14"/>
        <v>45597</v>
      </c>
      <c r="I930" s="26">
        <v>45610</v>
      </c>
      <c r="J930" s="3">
        <v>8.6999999999999993</v>
      </c>
      <c r="K930" s="10">
        <f>Table2[[#This Row],[Order Quantity]]*Table2[[#This Row],[Price per Unit]]</f>
        <v>6437.9999999999991</v>
      </c>
    </row>
    <row r="931" spans="1:11">
      <c r="A931" s="1" t="s">
        <v>950</v>
      </c>
      <c r="B931" s="1" t="s">
        <v>12</v>
      </c>
      <c r="C931" s="1" t="s">
        <v>13</v>
      </c>
      <c r="D931" s="10">
        <v>1450</v>
      </c>
      <c r="E931" s="10">
        <v>1353</v>
      </c>
      <c r="F931" s="4">
        <v>47</v>
      </c>
      <c r="G931" s="2">
        <v>45503</v>
      </c>
      <c r="H931" s="21">
        <f t="shared" si="14"/>
        <v>45505</v>
      </c>
      <c r="I931" s="26">
        <v>45506</v>
      </c>
      <c r="J931" s="3">
        <v>13.77</v>
      </c>
      <c r="K931" s="10">
        <f>Table2[[#This Row],[Order Quantity]]*Table2[[#This Row],[Price per Unit]]</f>
        <v>19966.5</v>
      </c>
    </row>
    <row r="932" spans="1:11">
      <c r="A932" s="1" t="s">
        <v>951</v>
      </c>
      <c r="B932" s="1" t="s">
        <v>27</v>
      </c>
      <c r="C932" s="1" t="s">
        <v>16</v>
      </c>
      <c r="D932" s="10">
        <v>3984</v>
      </c>
      <c r="E932" s="10">
        <v>4026</v>
      </c>
      <c r="F932" s="4">
        <v>191</v>
      </c>
      <c r="G932" s="2">
        <v>45449</v>
      </c>
      <c r="H932" s="21">
        <f t="shared" si="14"/>
        <v>45444</v>
      </c>
      <c r="I932" s="26">
        <v>45456</v>
      </c>
      <c r="J932" s="3">
        <v>21.8</v>
      </c>
      <c r="K932" s="10">
        <f>Table2[[#This Row],[Order Quantity]]*Table2[[#This Row],[Price per Unit]]</f>
        <v>86851.199999999997</v>
      </c>
    </row>
    <row r="933" spans="1:11">
      <c r="A933" s="1" t="s">
        <v>952</v>
      </c>
      <c r="B933" s="1" t="s">
        <v>27</v>
      </c>
      <c r="C933" s="1" t="s">
        <v>13</v>
      </c>
      <c r="D933" s="10">
        <v>2949</v>
      </c>
      <c r="E933" s="10">
        <v>2785</v>
      </c>
      <c r="F933" s="4">
        <v>85</v>
      </c>
      <c r="G933" s="2">
        <v>45498</v>
      </c>
      <c r="H933" s="21">
        <f t="shared" si="14"/>
        <v>45474</v>
      </c>
      <c r="I933" s="26">
        <v>45501</v>
      </c>
      <c r="J933" s="3">
        <v>11.41</v>
      </c>
      <c r="K933" s="10">
        <f>Table2[[#This Row],[Order Quantity]]*Table2[[#This Row],[Price per Unit]]</f>
        <v>33648.090000000004</v>
      </c>
    </row>
    <row r="934" spans="1:11">
      <c r="A934" s="1" t="s">
        <v>953</v>
      </c>
      <c r="B934" s="1" t="s">
        <v>25</v>
      </c>
      <c r="C934" s="1" t="s">
        <v>45</v>
      </c>
      <c r="D934" s="10">
        <v>1801</v>
      </c>
      <c r="E934" s="10">
        <v>1814</v>
      </c>
      <c r="F934" s="4">
        <v>54</v>
      </c>
      <c r="G934" s="2">
        <v>45582</v>
      </c>
      <c r="H934" s="21">
        <f t="shared" si="14"/>
        <v>45566</v>
      </c>
      <c r="I934" s="26">
        <v>45582</v>
      </c>
      <c r="J934" s="3">
        <v>11.53</v>
      </c>
      <c r="K934" s="10">
        <f>Table2[[#This Row],[Order Quantity]]*Table2[[#This Row],[Price per Unit]]</f>
        <v>20765.53</v>
      </c>
    </row>
    <row r="935" spans="1:11">
      <c r="A935" s="1" t="s">
        <v>954</v>
      </c>
      <c r="B935" s="1" t="s">
        <v>25</v>
      </c>
      <c r="C935" s="1" t="s">
        <v>20</v>
      </c>
      <c r="D935" s="10">
        <v>2416</v>
      </c>
      <c r="E935" s="10">
        <v>2189</v>
      </c>
      <c r="F935" s="4">
        <v>154</v>
      </c>
      <c r="G935" s="2">
        <v>45612</v>
      </c>
      <c r="H935" s="21">
        <f t="shared" si="14"/>
        <v>45597</v>
      </c>
      <c r="I935" s="26">
        <v>45612</v>
      </c>
      <c r="J935" s="3">
        <v>7.37</v>
      </c>
      <c r="K935" s="10">
        <f>Table2[[#This Row],[Order Quantity]]*Table2[[#This Row],[Price per Unit]]</f>
        <v>17805.920000000002</v>
      </c>
    </row>
    <row r="936" spans="1:11">
      <c r="A936" s="1" t="s">
        <v>955</v>
      </c>
      <c r="B936" s="1" t="s">
        <v>27</v>
      </c>
      <c r="C936" s="1" t="s">
        <v>22</v>
      </c>
      <c r="D936" s="10">
        <v>1396</v>
      </c>
      <c r="E936" s="10">
        <v>1308</v>
      </c>
      <c r="F936" s="4">
        <v>91</v>
      </c>
      <c r="G936" s="2">
        <v>45352</v>
      </c>
      <c r="H936" s="21">
        <f t="shared" si="14"/>
        <v>45352</v>
      </c>
      <c r="I936" s="26">
        <v>45355</v>
      </c>
      <c r="J936" s="3">
        <v>8.3800000000000008</v>
      </c>
      <c r="K936" s="10">
        <f>Table2[[#This Row],[Order Quantity]]*Table2[[#This Row],[Price per Unit]]</f>
        <v>11698.480000000001</v>
      </c>
    </row>
    <row r="937" spans="1:11">
      <c r="A937" s="1" t="s">
        <v>956</v>
      </c>
      <c r="B937" s="1" t="s">
        <v>18</v>
      </c>
      <c r="C937" s="1" t="s">
        <v>45</v>
      </c>
      <c r="D937" s="10">
        <v>3395</v>
      </c>
      <c r="E937" s="10">
        <v>3114</v>
      </c>
      <c r="F937" s="4">
        <v>213</v>
      </c>
      <c r="G937" s="2">
        <v>45564</v>
      </c>
      <c r="H937" s="21">
        <f t="shared" si="14"/>
        <v>45536</v>
      </c>
      <c r="I937" s="26">
        <v>45564</v>
      </c>
      <c r="J937" s="3">
        <v>15.05</v>
      </c>
      <c r="K937" s="10">
        <f>Table2[[#This Row],[Order Quantity]]*Table2[[#This Row],[Price per Unit]]</f>
        <v>51094.75</v>
      </c>
    </row>
    <row r="938" spans="1:11">
      <c r="A938" s="1" t="s">
        <v>957</v>
      </c>
      <c r="B938" s="1" t="s">
        <v>18</v>
      </c>
      <c r="C938" s="1" t="s">
        <v>13</v>
      </c>
      <c r="D938" s="10">
        <v>4270</v>
      </c>
      <c r="E938" s="10">
        <v>4411</v>
      </c>
      <c r="F938" s="4">
        <v>105</v>
      </c>
      <c r="G938" s="2">
        <v>45626</v>
      </c>
      <c r="H938" s="21">
        <f t="shared" si="14"/>
        <v>45597</v>
      </c>
      <c r="I938" s="26">
        <v>45626</v>
      </c>
      <c r="J938" s="3">
        <v>10.68</v>
      </c>
      <c r="K938" s="10">
        <f>Table2[[#This Row],[Order Quantity]]*Table2[[#This Row],[Price per Unit]]</f>
        <v>45603.6</v>
      </c>
    </row>
    <row r="939" spans="1:11">
      <c r="A939" s="1" t="s">
        <v>958</v>
      </c>
      <c r="B939" s="1" t="s">
        <v>25</v>
      </c>
      <c r="C939" s="1" t="s">
        <v>16</v>
      </c>
      <c r="D939" s="10">
        <v>1504</v>
      </c>
      <c r="E939" s="10">
        <v>1442</v>
      </c>
      <c r="F939" s="4">
        <v>69</v>
      </c>
      <c r="G939" s="2">
        <v>45438</v>
      </c>
      <c r="H939" s="21">
        <f t="shared" si="14"/>
        <v>45413</v>
      </c>
      <c r="I939" s="26">
        <v>45438</v>
      </c>
      <c r="J939" s="3">
        <v>8.1999999999999993</v>
      </c>
      <c r="K939" s="10">
        <f>Table2[[#This Row],[Order Quantity]]*Table2[[#This Row],[Price per Unit]]</f>
        <v>12332.8</v>
      </c>
    </row>
    <row r="940" spans="1:11">
      <c r="A940" s="1" t="s">
        <v>959</v>
      </c>
      <c r="B940" s="1" t="s">
        <v>18</v>
      </c>
      <c r="C940" s="1" t="s">
        <v>13</v>
      </c>
      <c r="D940" s="10">
        <v>1533</v>
      </c>
      <c r="E940" s="10">
        <v>1424</v>
      </c>
      <c r="F940" s="4">
        <v>58</v>
      </c>
      <c r="G940" s="2">
        <v>45441</v>
      </c>
      <c r="H940" s="21">
        <f t="shared" si="14"/>
        <v>45444</v>
      </c>
      <c r="I940" s="26">
        <v>45448</v>
      </c>
      <c r="J940" s="3">
        <v>21.6</v>
      </c>
      <c r="K940" s="10">
        <f>Table2[[#This Row],[Order Quantity]]*Table2[[#This Row],[Price per Unit]]</f>
        <v>33112.800000000003</v>
      </c>
    </row>
    <row r="941" spans="1:11">
      <c r="A941" s="1" t="s">
        <v>960</v>
      </c>
      <c r="B941" s="1" t="s">
        <v>12</v>
      </c>
      <c r="C941" s="1" t="s">
        <v>13</v>
      </c>
      <c r="D941" s="10">
        <v>3420</v>
      </c>
      <c r="E941" s="10">
        <v>3409</v>
      </c>
      <c r="F941" s="4">
        <v>71</v>
      </c>
      <c r="G941" s="2">
        <v>45489</v>
      </c>
      <c r="H941" s="21">
        <f t="shared" si="14"/>
        <v>45474</v>
      </c>
      <c r="I941" s="26">
        <v>45489</v>
      </c>
      <c r="J941" s="3">
        <v>15.94</v>
      </c>
      <c r="K941" s="10">
        <f>Table2[[#This Row],[Order Quantity]]*Table2[[#This Row],[Price per Unit]]</f>
        <v>54514.799999999996</v>
      </c>
    </row>
    <row r="942" spans="1:11">
      <c r="A942" s="1" t="s">
        <v>961</v>
      </c>
      <c r="B942" s="1" t="s">
        <v>27</v>
      </c>
      <c r="C942" s="1" t="s">
        <v>22</v>
      </c>
      <c r="D942" s="10">
        <v>1401</v>
      </c>
      <c r="E942" s="10">
        <v>1347</v>
      </c>
      <c r="F942" s="4">
        <v>17</v>
      </c>
      <c r="G942" s="2">
        <v>45626</v>
      </c>
      <c r="H942" s="21">
        <f t="shared" si="14"/>
        <v>45627</v>
      </c>
      <c r="I942" s="26">
        <v>45627</v>
      </c>
      <c r="J942" s="3">
        <v>10.48</v>
      </c>
      <c r="K942" s="10">
        <f>Table2[[#This Row],[Order Quantity]]*Table2[[#This Row],[Price per Unit]]</f>
        <v>14682.480000000001</v>
      </c>
    </row>
    <row r="943" spans="1:11">
      <c r="A943" s="1" t="s">
        <v>962</v>
      </c>
      <c r="B943" s="1" t="s">
        <v>25</v>
      </c>
      <c r="C943" s="1" t="s">
        <v>13</v>
      </c>
      <c r="D943" s="10">
        <v>526</v>
      </c>
      <c r="E943" s="10">
        <v>501</v>
      </c>
      <c r="F943" s="4">
        <v>6</v>
      </c>
      <c r="G943" s="2">
        <v>45483</v>
      </c>
      <c r="H943" s="21">
        <f t="shared" si="14"/>
        <v>45474</v>
      </c>
      <c r="I943" s="26">
        <v>45483</v>
      </c>
      <c r="J943" s="3">
        <v>8.58</v>
      </c>
      <c r="K943" s="10">
        <f>Table2[[#This Row],[Order Quantity]]*Table2[[#This Row],[Price per Unit]]</f>
        <v>4513.08</v>
      </c>
    </row>
    <row r="944" spans="1:11">
      <c r="A944" s="1" t="s">
        <v>963</v>
      </c>
      <c r="B944" s="1" t="s">
        <v>12</v>
      </c>
      <c r="C944" s="1" t="s">
        <v>45</v>
      </c>
      <c r="D944" s="10">
        <v>4780</v>
      </c>
      <c r="E944" s="10">
        <v>4808</v>
      </c>
      <c r="F944" s="4">
        <v>217</v>
      </c>
      <c r="G944" s="2">
        <v>45627</v>
      </c>
      <c r="H944" s="21">
        <f t="shared" si="14"/>
        <v>45627</v>
      </c>
      <c r="I944" s="26">
        <v>45632</v>
      </c>
      <c r="J944" s="3">
        <v>21.58</v>
      </c>
      <c r="K944" s="10">
        <f>Table2[[#This Row],[Order Quantity]]*Table2[[#This Row],[Price per Unit]]</f>
        <v>103152.4</v>
      </c>
    </row>
    <row r="945" spans="1:11">
      <c r="A945" s="1" t="s">
        <v>964</v>
      </c>
      <c r="B945" s="1" t="s">
        <v>27</v>
      </c>
      <c r="C945" s="1" t="s">
        <v>16</v>
      </c>
      <c r="D945" s="10">
        <v>1305</v>
      </c>
      <c r="E945" s="10">
        <v>1249</v>
      </c>
      <c r="F945" s="4">
        <v>80</v>
      </c>
      <c r="G945" s="2">
        <v>45370</v>
      </c>
      <c r="H945" s="21">
        <f t="shared" si="14"/>
        <v>45352</v>
      </c>
      <c r="I945" s="26">
        <v>45370</v>
      </c>
      <c r="J945" s="3">
        <v>11.85</v>
      </c>
      <c r="K945" s="10">
        <f>Table2[[#This Row],[Order Quantity]]*Table2[[#This Row],[Price per Unit]]</f>
        <v>15464.25</v>
      </c>
    </row>
    <row r="946" spans="1:11">
      <c r="A946" s="1" t="s">
        <v>965</v>
      </c>
      <c r="B946" s="1" t="s">
        <v>18</v>
      </c>
      <c r="C946" s="1" t="s">
        <v>13</v>
      </c>
      <c r="D946" s="10">
        <v>2960</v>
      </c>
      <c r="E946" s="10">
        <v>2728</v>
      </c>
      <c r="F946" s="4">
        <v>206</v>
      </c>
      <c r="G946" s="2">
        <v>45294</v>
      </c>
      <c r="H946" s="21">
        <f t="shared" si="14"/>
        <v>45292</v>
      </c>
      <c r="I946" s="26">
        <v>45294</v>
      </c>
      <c r="J946" s="3">
        <v>23.35</v>
      </c>
      <c r="K946" s="10">
        <f>Table2[[#This Row],[Order Quantity]]*Table2[[#This Row],[Price per Unit]]</f>
        <v>69116</v>
      </c>
    </row>
    <row r="947" spans="1:11">
      <c r="A947" s="1" t="s">
        <v>966</v>
      </c>
      <c r="B947" s="1" t="s">
        <v>15</v>
      </c>
      <c r="C947" s="1" t="s">
        <v>22</v>
      </c>
      <c r="D947" s="10">
        <v>2579</v>
      </c>
      <c r="E947" s="10">
        <v>2590</v>
      </c>
      <c r="F947" s="4">
        <v>193</v>
      </c>
      <c r="G947" s="2">
        <v>45352</v>
      </c>
      <c r="H947" s="21">
        <f t="shared" si="14"/>
        <v>45352</v>
      </c>
      <c r="I947" s="26">
        <v>45355</v>
      </c>
      <c r="J947" s="3">
        <v>21.41</v>
      </c>
      <c r="K947" s="10">
        <f>Table2[[#This Row],[Order Quantity]]*Table2[[#This Row],[Price per Unit]]</f>
        <v>55216.39</v>
      </c>
    </row>
    <row r="948" spans="1:11">
      <c r="A948" s="1" t="s">
        <v>967</v>
      </c>
      <c r="B948" s="1" t="s">
        <v>15</v>
      </c>
      <c r="C948" s="1" t="s">
        <v>16</v>
      </c>
      <c r="D948" s="10">
        <v>1703</v>
      </c>
      <c r="E948" s="10">
        <v>1695</v>
      </c>
      <c r="F948" s="4">
        <v>59</v>
      </c>
      <c r="G948" s="2">
        <v>45517</v>
      </c>
      <c r="H948" s="21">
        <f t="shared" si="14"/>
        <v>45505</v>
      </c>
      <c r="I948" s="26">
        <v>45520</v>
      </c>
      <c r="J948" s="3">
        <v>7.97</v>
      </c>
      <c r="K948" s="10">
        <f>Table2[[#This Row],[Order Quantity]]*Table2[[#This Row],[Price per Unit]]</f>
        <v>13572.91</v>
      </c>
    </row>
    <row r="949" spans="1:11">
      <c r="A949" s="1" t="s">
        <v>968</v>
      </c>
      <c r="B949" s="1" t="s">
        <v>25</v>
      </c>
      <c r="C949" s="1" t="s">
        <v>13</v>
      </c>
      <c r="D949" s="10">
        <v>3668</v>
      </c>
      <c r="E949" s="10">
        <v>3409</v>
      </c>
      <c r="F949" s="4">
        <v>90</v>
      </c>
      <c r="G949" s="2">
        <v>45495</v>
      </c>
      <c r="H949" s="21">
        <f t="shared" si="14"/>
        <v>45474</v>
      </c>
      <c r="I949" s="26">
        <v>45502</v>
      </c>
      <c r="J949" s="3">
        <v>11</v>
      </c>
      <c r="K949" s="10">
        <f>Table2[[#This Row],[Order Quantity]]*Table2[[#This Row],[Price per Unit]]</f>
        <v>40348</v>
      </c>
    </row>
    <row r="950" spans="1:11">
      <c r="A950" s="1" t="s">
        <v>969</v>
      </c>
      <c r="B950" s="1" t="s">
        <v>12</v>
      </c>
      <c r="C950" s="1" t="s">
        <v>13</v>
      </c>
      <c r="D950" s="10">
        <v>1219</v>
      </c>
      <c r="E950" s="10">
        <v>1224</v>
      </c>
      <c r="F950" s="4">
        <v>43</v>
      </c>
      <c r="G950" s="2">
        <v>45500</v>
      </c>
      <c r="H950" s="21">
        <f t="shared" si="14"/>
        <v>45505</v>
      </c>
      <c r="I950" s="26">
        <v>45507</v>
      </c>
      <c r="J950" s="3">
        <v>21.48</v>
      </c>
      <c r="K950" s="10">
        <f>Table2[[#This Row],[Order Quantity]]*Table2[[#This Row],[Price per Unit]]</f>
        <v>26184.12</v>
      </c>
    </row>
    <row r="951" spans="1:11">
      <c r="A951" s="1" t="s">
        <v>970</v>
      </c>
      <c r="B951" s="1" t="s">
        <v>15</v>
      </c>
      <c r="C951" s="1" t="s">
        <v>20</v>
      </c>
      <c r="D951" s="10">
        <v>4065</v>
      </c>
      <c r="E951" s="10">
        <v>3945</v>
      </c>
      <c r="F951" s="4">
        <v>169</v>
      </c>
      <c r="G951" s="2">
        <v>45405</v>
      </c>
      <c r="H951" s="21">
        <f t="shared" si="14"/>
        <v>45383</v>
      </c>
      <c r="I951" s="26">
        <v>45410</v>
      </c>
      <c r="J951" s="3">
        <v>12.56</v>
      </c>
      <c r="K951" s="10">
        <f>Table2[[#This Row],[Order Quantity]]*Table2[[#This Row],[Price per Unit]]</f>
        <v>51056.4</v>
      </c>
    </row>
    <row r="952" spans="1:11">
      <c r="A952" s="1" t="s">
        <v>971</v>
      </c>
      <c r="B952" s="1" t="s">
        <v>18</v>
      </c>
      <c r="C952" s="1" t="s">
        <v>22</v>
      </c>
      <c r="D952" s="10">
        <v>2560</v>
      </c>
      <c r="E952" s="10">
        <v>2435</v>
      </c>
      <c r="F952" s="4">
        <v>140</v>
      </c>
      <c r="G952" s="2">
        <v>45494</v>
      </c>
      <c r="H952" s="21">
        <f t="shared" si="14"/>
        <v>45474</v>
      </c>
      <c r="I952" s="26">
        <v>45494</v>
      </c>
      <c r="J952" s="3">
        <v>5.51</v>
      </c>
      <c r="K952" s="10">
        <f>Table2[[#This Row],[Order Quantity]]*Table2[[#This Row],[Price per Unit]]</f>
        <v>14105.599999999999</v>
      </c>
    </row>
    <row r="953" spans="1:11">
      <c r="A953" s="1" t="s">
        <v>972</v>
      </c>
      <c r="B953" s="1" t="s">
        <v>15</v>
      </c>
      <c r="C953" s="1" t="s">
        <v>20</v>
      </c>
      <c r="D953" s="10">
        <v>3084</v>
      </c>
      <c r="E953" s="10">
        <v>3057</v>
      </c>
      <c r="F953" s="4">
        <v>82</v>
      </c>
      <c r="G953" s="2">
        <v>45635</v>
      </c>
      <c r="H953" s="21">
        <f t="shared" si="14"/>
        <v>45627</v>
      </c>
      <c r="I953" s="26">
        <v>45642</v>
      </c>
      <c r="J953" s="3">
        <v>12.74</v>
      </c>
      <c r="K953" s="10">
        <f>Table2[[#This Row],[Order Quantity]]*Table2[[#This Row],[Price per Unit]]</f>
        <v>39290.160000000003</v>
      </c>
    </row>
    <row r="954" spans="1:11">
      <c r="A954" s="1" t="s">
        <v>973</v>
      </c>
      <c r="B954" s="1" t="s">
        <v>15</v>
      </c>
      <c r="C954" s="1" t="s">
        <v>22</v>
      </c>
      <c r="D954" s="10">
        <v>4961</v>
      </c>
      <c r="E954" s="10">
        <v>4686</v>
      </c>
      <c r="F954" s="4">
        <v>76</v>
      </c>
      <c r="G954" s="2">
        <v>45421</v>
      </c>
      <c r="H954" s="21">
        <f t="shared" si="14"/>
        <v>45413</v>
      </c>
      <c r="I954" s="26">
        <v>45428</v>
      </c>
      <c r="J954" s="3">
        <v>23.22</v>
      </c>
      <c r="K954" s="10">
        <f>Table2[[#This Row],[Order Quantity]]*Table2[[#This Row],[Price per Unit]]</f>
        <v>115194.42</v>
      </c>
    </row>
    <row r="955" spans="1:11">
      <c r="A955" s="1" t="s">
        <v>974</v>
      </c>
      <c r="B955" s="1" t="s">
        <v>12</v>
      </c>
      <c r="C955" s="1" t="s">
        <v>13</v>
      </c>
      <c r="D955" s="10">
        <v>1388</v>
      </c>
      <c r="E955" s="10">
        <v>1300</v>
      </c>
      <c r="F955" s="4">
        <v>86</v>
      </c>
      <c r="G955" s="2">
        <v>45564</v>
      </c>
      <c r="H955" s="21">
        <f t="shared" si="14"/>
        <v>45566</v>
      </c>
      <c r="I955" s="26">
        <v>45566</v>
      </c>
      <c r="J955" s="3">
        <v>11.86</v>
      </c>
      <c r="K955" s="10">
        <f>Table2[[#This Row],[Order Quantity]]*Table2[[#This Row],[Price per Unit]]</f>
        <v>16461.68</v>
      </c>
    </row>
    <row r="956" spans="1:11">
      <c r="A956" s="1" t="s">
        <v>975</v>
      </c>
      <c r="B956" s="1" t="s">
        <v>18</v>
      </c>
      <c r="C956" s="1" t="s">
        <v>45</v>
      </c>
      <c r="D956" s="10">
        <v>2915</v>
      </c>
      <c r="E956" s="10">
        <v>2877</v>
      </c>
      <c r="F956" s="4">
        <v>172</v>
      </c>
      <c r="G956" s="2">
        <v>45474</v>
      </c>
      <c r="H956" s="21">
        <f t="shared" si="14"/>
        <v>45474</v>
      </c>
      <c r="I956" s="26">
        <v>45476</v>
      </c>
      <c r="J956" s="3">
        <v>9.8000000000000007</v>
      </c>
      <c r="K956" s="10">
        <f>Table2[[#This Row],[Order Quantity]]*Table2[[#This Row],[Price per Unit]]</f>
        <v>28567.000000000004</v>
      </c>
    </row>
    <row r="957" spans="1:11">
      <c r="A957" s="1" t="s">
        <v>976</v>
      </c>
      <c r="B957" s="1" t="s">
        <v>15</v>
      </c>
      <c r="C957" s="1" t="s">
        <v>16</v>
      </c>
      <c r="D957" s="10">
        <v>651</v>
      </c>
      <c r="E957" s="10">
        <v>593</v>
      </c>
      <c r="F957" s="4">
        <v>42</v>
      </c>
      <c r="G957" s="2">
        <v>45503</v>
      </c>
      <c r="H957" s="21">
        <f t="shared" si="14"/>
        <v>45505</v>
      </c>
      <c r="I957" s="26">
        <v>45505</v>
      </c>
      <c r="J957" s="3">
        <v>19.579999999999998</v>
      </c>
      <c r="K957" s="10">
        <f>Table2[[#This Row],[Order Quantity]]*Table2[[#This Row],[Price per Unit]]</f>
        <v>12746.579999999998</v>
      </c>
    </row>
    <row r="958" spans="1:11">
      <c r="A958" s="1" t="s">
        <v>977</v>
      </c>
      <c r="B958" s="1" t="s">
        <v>12</v>
      </c>
      <c r="C958" s="1" t="s">
        <v>22</v>
      </c>
      <c r="D958" s="10">
        <v>1056</v>
      </c>
      <c r="E958" s="10">
        <v>1002</v>
      </c>
      <c r="F958" s="4">
        <v>36</v>
      </c>
      <c r="G958" s="2">
        <v>45514</v>
      </c>
      <c r="H958" s="21">
        <f t="shared" si="14"/>
        <v>45505</v>
      </c>
      <c r="I958" s="26">
        <v>45515</v>
      </c>
      <c r="J958" s="3">
        <v>20.2</v>
      </c>
      <c r="K958" s="10">
        <f>Table2[[#This Row],[Order Quantity]]*Table2[[#This Row],[Price per Unit]]</f>
        <v>21331.200000000001</v>
      </c>
    </row>
    <row r="959" spans="1:11">
      <c r="A959" s="1" t="s">
        <v>978</v>
      </c>
      <c r="B959" s="1" t="s">
        <v>27</v>
      </c>
      <c r="C959" s="1" t="s">
        <v>13</v>
      </c>
      <c r="D959" s="10">
        <v>3776</v>
      </c>
      <c r="E959" s="10">
        <v>3544</v>
      </c>
      <c r="F959" s="4">
        <v>150</v>
      </c>
      <c r="G959" s="2">
        <v>45310</v>
      </c>
      <c r="H959" s="21">
        <f t="shared" si="14"/>
        <v>45292</v>
      </c>
      <c r="I959" s="26">
        <v>45310</v>
      </c>
      <c r="J959" s="3">
        <v>9.5399999999999991</v>
      </c>
      <c r="K959" s="10">
        <f>Table2[[#This Row],[Order Quantity]]*Table2[[#This Row],[Price per Unit]]</f>
        <v>36023.039999999994</v>
      </c>
    </row>
    <row r="960" spans="1:11">
      <c r="A960" s="1" t="s">
        <v>979</v>
      </c>
      <c r="B960" s="1" t="s">
        <v>12</v>
      </c>
      <c r="C960" s="1" t="s">
        <v>45</v>
      </c>
      <c r="D960" s="10">
        <v>1677</v>
      </c>
      <c r="E960" s="10">
        <v>1595</v>
      </c>
      <c r="F960" s="4">
        <v>123</v>
      </c>
      <c r="G960" s="2">
        <v>45472</v>
      </c>
      <c r="H960" s="21">
        <f t="shared" si="14"/>
        <v>45444</v>
      </c>
      <c r="I960" s="26">
        <v>45472</v>
      </c>
      <c r="J960" s="3">
        <v>13.9</v>
      </c>
      <c r="K960" s="10">
        <f>Table2[[#This Row],[Order Quantity]]*Table2[[#This Row],[Price per Unit]]</f>
        <v>23310.3</v>
      </c>
    </row>
    <row r="961" spans="1:11">
      <c r="A961" s="1" t="s">
        <v>980</v>
      </c>
      <c r="B961" s="1" t="s">
        <v>25</v>
      </c>
      <c r="C961" s="1" t="s">
        <v>16</v>
      </c>
      <c r="D961" s="10">
        <v>3357</v>
      </c>
      <c r="E961" s="10">
        <v>3300</v>
      </c>
      <c r="F961" s="4">
        <v>102</v>
      </c>
      <c r="G961" s="2">
        <v>45475</v>
      </c>
      <c r="H961" s="21">
        <f t="shared" si="14"/>
        <v>45474</v>
      </c>
      <c r="I961" s="26">
        <v>45480</v>
      </c>
      <c r="J961" s="3">
        <v>13.62</v>
      </c>
      <c r="K961" s="10">
        <f>Table2[[#This Row],[Order Quantity]]*Table2[[#This Row],[Price per Unit]]</f>
        <v>45722.34</v>
      </c>
    </row>
    <row r="962" spans="1:11">
      <c r="A962" s="1" t="s">
        <v>981</v>
      </c>
      <c r="B962" s="1" t="s">
        <v>15</v>
      </c>
      <c r="C962" s="1" t="s">
        <v>22</v>
      </c>
      <c r="D962" s="10">
        <v>1142</v>
      </c>
      <c r="E962" s="10">
        <v>1102</v>
      </c>
      <c r="F962" s="4">
        <v>76</v>
      </c>
      <c r="G962" s="2">
        <v>45599</v>
      </c>
      <c r="H962" s="21">
        <f t="shared" ref="H962:H1025" si="15">DATE(YEAR(I962), MONTH(I962), 1)</f>
        <v>45597</v>
      </c>
      <c r="I962" s="26">
        <v>45600</v>
      </c>
      <c r="J962" s="3">
        <v>12.27</v>
      </c>
      <c r="K962" s="10">
        <f>Table2[[#This Row],[Order Quantity]]*Table2[[#This Row],[Price per Unit]]</f>
        <v>14012.34</v>
      </c>
    </row>
    <row r="963" spans="1:11">
      <c r="A963" s="1" t="s">
        <v>982</v>
      </c>
      <c r="B963" s="1" t="s">
        <v>25</v>
      </c>
      <c r="C963" s="1" t="s">
        <v>20</v>
      </c>
      <c r="D963" s="10">
        <v>4201</v>
      </c>
      <c r="E963" s="10">
        <v>4173</v>
      </c>
      <c r="F963" s="4">
        <v>258</v>
      </c>
      <c r="G963" s="2">
        <v>45480</v>
      </c>
      <c r="H963" s="21">
        <f t="shared" si="15"/>
        <v>45474</v>
      </c>
      <c r="I963" s="26">
        <v>45483</v>
      </c>
      <c r="J963" s="3">
        <v>21.1</v>
      </c>
      <c r="K963" s="10">
        <f>Table2[[#This Row],[Order Quantity]]*Table2[[#This Row],[Price per Unit]]</f>
        <v>88641.1</v>
      </c>
    </row>
    <row r="964" spans="1:11">
      <c r="A964" s="1" t="s">
        <v>983</v>
      </c>
      <c r="B964" s="1" t="s">
        <v>18</v>
      </c>
      <c r="C964" s="1" t="s">
        <v>20</v>
      </c>
      <c r="D964" s="10">
        <v>1652</v>
      </c>
      <c r="E964" s="10">
        <v>1499</v>
      </c>
      <c r="F964" s="4">
        <v>57</v>
      </c>
      <c r="G964" s="2">
        <v>45491</v>
      </c>
      <c r="H964" s="21">
        <f t="shared" si="15"/>
        <v>45474</v>
      </c>
      <c r="I964" s="26">
        <v>45493</v>
      </c>
      <c r="J964" s="3">
        <v>18.48</v>
      </c>
      <c r="K964" s="10">
        <f>Table2[[#This Row],[Order Quantity]]*Table2[[#This Row],[Price per Unit]]</f>
        <v>30528.959999999999</v>
      </c>
    </row>
    <row r="965" spans="1:11">
      <c r="A965" s="1" t="s">
        <v>984</v>
      </c>
      <c r="B965" s="1" t="s">
        <v>12</v>
      </c>
      <c r="C965" s="1" t="s">
        <v>16</v>
      </c>
      <c r="D965" s="10">
        <v>3705</v>
      </c>
      <c r="E965" s="10">
        <v>3687</v>
      </c>
      <c r="F965" s="4">
        <v>84</v>
      </c>
      <c r="G965" s="2">
        <v>45590</v>
      </c>
      <c r="H965" s="21">
        <f t="shared" si="15"/>
        <v>45566</v>
      </c>
      <c r="I965" s="26">
        <v>45590</v>
      </c>
      <c r="J965" s="3">
        <v>19.989999999999998</v>
      </c>
      <c r="K965" s="10">
        <f>Table2[[#This Row],[Order Quantity]]*Table2[[#This Row],[Price per Unit]]</f>
        <v>74062.95</v>
      </c>
    </row>
    <row r="966" spans="1:11">
      <c r="A966" s="1" t="s">
        <v>985</v>
      </c>
      <c r="B966" s="1" t="s">
        <v>25</v>
      </c>
      <c r="C966" s="1" t="s">
        <v>20</v>
      </c>
      <c r="D966" s="10">
        <v>4685</v>
      </c>
      <c r="E966" s="10">
        <v>4635</v>
      </c>
      <c r="F966" s="4">
        <v>203</v>
      </c>
      <c r="G966" s="2">
        <v>45503</v>
      </c>
      <c r="H966" s="21">
        <f t="shared" si="15"/>
        <v>45505</v>
      </c>
      <c r="I966" s="26">
        <v>45508</v>
      </c>
      <c r="J966" s="3">
        <v>5.54</v>
      </c>
      <c r="K966" s="10">
        <f>Table2[[#This Row],[Order Quantity]]*Table2[[#This Row],[Price per Unit]]</f>
        <v>25954.9</v>
      </c>
    </row>
    <row r="967" spans="1:11">
      <c r="A967" s="1" t="s">
        <v>986</v>
      </c>
      <c r="B967" s="1" t="s">
        <v>12</v>
      </c>
      <c r="C967" s="1" t="s">
        <v>13</v>
      </c>
      <c r="D967" s="10">
        <v>3510</v>
      </c>
      <c r="E967" s="10">
        <v>3668</v>
      </c>
      <c r="F967" s="4">
        <v>220</v>
      </c>
      <c r="G967" s="2">
        <v>45399</v>
      </c>
      <c r="H967" s="21">
        <f t="shared" si="15"/>
        <v>45383</v>
      </c>
      <c r="I967" s="26">
        <v>45402</v>
      </c>
      <c r="J967" s="3">
        <v>24.14</v>
      </c>
      <c r="K967" s="10">
        <f>Table2[[#This Row],[Order Quantity]]*Table2[[#This Row],[Price per Unit]]</f>
        <v>84731.400000000009</v>
      </c>
    </row>
    <row r="968" spans="1:11">
      <c r="A968" s="1" t="s">
        <v>987</v>
      </c>
      <c r="B968" s="1" t="s">
        <v>18</v>
      </c>
      <c r="C968" s="1" t="s">
        <v>20</v>
      </c>
      <c r="D968" s="10">
        <v>1663</v>
      </c>
      <c r="E968" s="10">
        <v>1736</v>
      </c>
      <c r="F968" s="4">
        <v>82</v>
      </c>
      <c r="G968" s="2">
        <v>45389</v>
      </c>
      <c r="H968" s="21">
        <f t="shared" si="15"/>
        <v>45383</v>
      </c>
      <c r="I968" s="26">
        <v>45390</v>
      </c>
      <c r="J968" s="3">
        <v>17.37</v>
      </c>
      <c r="K968" s="10">
        <f>Table2[[#This Row],[Order Quantity]]*Table2[[#This Row],[Price per Unit]]</f>
        <v>28886.31</v>
      </c>
    </row>
    <row r="969" spans="1:11">
      <c r="A969" s="1" t="s">
        <v>988</v>
      </c>
      <c r="B969" s="1" t="s">
        <v>25</v>
      </c>
      <c r="C969" s="1" t="s">
        <v>16</v>
      </c>
      <c r="D969" s="10">
        <v>2829</v>
      </c>
      <c r="E969" s="10">
        <v>2762</v>
      </c>
      <c r="F969" s="4">
        <v>110</v>
      </c>
      <c r="G969" s="2">
        <v>45525</v>
      </c>
      <c r="H969" s="21">
        <f t="shared" si="15"/>
        <v>45505</v>
      </c>
      <c r="I969" s="26">
        <v>45525</v>
      </c>
      <c r="J969" s="3">
        <v>6.08</v>
      </c>
      <c r="K969" s="10">
        <f>Table2[[#This Row],[Order Quantity]]*Table2[[#This Row],[Price per Unit]]</f>
        <v>17200.32</v>
      </c>
    </row>
    <row r="970" spans="1:11">
      <c r="A970" s="1" t="s">
        <v>989</v>
      </c>
      <c r="B970" s="1" t="s">
        <v>25</v>
      </c>
      <c r="C970" s="1" t="s">
        <v>45</v>
      </c>
      <c r="D970" s="10">
        <v>1602</v>
      </c>
      <c r="E970" s="10">
        <v>1521</v>
      </c>
      <c r="F970" s="4">
        <v>56</v>
      </c>
      <c r="G970" s="2">
        <v>45421</v>
      </c>
      <c r="H970" s="21">
        <f t="shared" si="15"/>
        <v>45413</v>
      </c>
      <c r="I970" s="26">
        <v>45422</v>
      </c>
      <c r="J970" s="3">
        <v>7.77</v>
      </c>
      <c r="K970" s="10">
        <f>Table2[[#This Row],[Order Quantity]]*Table2[[#This Row],[Price per Unit]]</f>
        <v>12447.539999999999</v>
      </c>
    </row>
    <row r="971" spans="1:11">
      <c r="A971" s="1" t="s">
        <v>990</v>
      </c>
      <c r="B971" s="1" t="s">
        <v>25</v>
      </c>
      <c r="C971" s="1" t="s">
        <v>16</v>
      </c>
      <c r="D971" s="10">
        <v>1799</v>
      </c>
      <c r="E971" s="10">
        <v>1815</v>
      </c>
      <c r="F971" s="4">
        <v>94</v>
      </c>
      <c r="G971" s="2">
        <v>45613</v>
      </c>
      <c r="H971" s="21">
        <f t="shared" si="15"/>
        <v>45597</v>
      </c>
      <c r="I971" s="26">
        <v>45620</v>
      </c>
      <c r="J971" s="3">
        <v>19.63</v>
      </c>
      <c r="K971" s="10">
        <f>Table2[[#This Row],[Order Quantity]]*Table2[[#This Row],[Price per Unit]]</f>
        <v>35314.369999999995</v>
      </c>
    </row>
    <row r="972" spans="1:11">
      <c r="A972" s="1" t="s">
        <v>991</v>
      </c>
      <c r="B972" s="1" t="s">
        <v>15</v>
      </c>
      <c r="C972" s="1" t="s">
        <v>16</v>
      </c>
      <c r="D972" s="10">
        <v>577</v>
      </c>
      <c r="E972" s="10">
        <v>568</v>
      </c>
      <c r="F972" s="4">
        <v>19</v>
      </c>
      <c r="G972" s="2">
        <v>45425</v>
      </c>
      <c r="H972" s="21">
        <f t="shared" si="15"/>
        <v>45413</v>
      </c>
      <c r="I972" s="26">
        <v>45427</v>
      </c>
      <c r="J972" s="3">
        <v>17.97</v>
      </c>
      <c r="K972" s="10">
        <f>Table2[[#This Row],[Order Quantity]]*Table2[[#This Row],[Price per Unit]]</f>
        <v>10368.689999999999</v>
      </c>
    </row>
    <row r="973" spans="1:11">
      <c r="A973" s="1" t="s">
        <v>992</v>
      </c>
      <c r="B973" s="1" t="s">
        <v>12</v>
      </c>
      <c r="C973" s="1" t="s">
        <v>16</v>
      </c>
      <c r="D973" s="10">
        <v>3927</v>
      </c>
      <c r="E973" s="10">
        <v>3604</v>
      </c>
      <c r="F973" s="4">
        <v>118</v>
      </c>
      <c r="G973" s="2">
        <v>45513</v>
      </c>
      <c r="H973" s="21">
        <f t="shared" si="15"/>
        <v>45505</v>
      </c>
      <c r="I973" s="26">
        <v>45515</v>
      </c>
      <c r="J973" s="3">
        <v>21.31</v>
      </c>
      <c r="K973" s="10">
        <f>Table2[[#This Row],[Order Quantity]]*Table2[[#This Row],[Price per Unit]]</f>
        <v>83684.37</v>
      </c>
    </row>
    <row r="974" spans="1:11">
      <c r="A974" s="1" t="s">
        <v>993</v>
      </c>
      <c r="B974" s="1" t="s">
        <v>12</v>
      </c>
      <c r="C974" s="1" t="s">
        <v>20</v>
      </c>
      <c r="D974" s="10">
        <v>3622</v>
      </c>
      <c r="E974" s="10">
        <v>3363</v>
      </c>
      <c r="F974" s="4">
        <v>164</v>
      </c>
      <c r="G974" s="2">
        <v>45375</v>
      </c>
      <c r="H974" s="21">
        <f t="shared" si="15"/>
        <v>45352</v>
      </c>
      <c r="I974" s="26">
        <v>45375</v>
      </c>
      <c r="J974" s="3">
        <v>16.68</v>
      </c>
      <c r="K974" s="10">
        <f>Table2[[#This Row],[Order Quantity]]*Table2[[#This Row],[Price per Unit]]</f>
        <v>60414.96</v>
      </c>
    </row>
    <row r="975" spans="1:11">
      <c r="A975" s="1" t="s">
        <v>994</v>
      </c>
      <c r="B975" s="1" t="s">
        <v>18</v>
      </c>
      <c r="C975" s="1" t="s">
        <v>20</v>
      </c>
      <c r="D975" s="10">
        <v>1315</v>
      </c>
      <c r="E975" s="10">
        <v>1253</v>
      </c>
      <c r="F975" s="4">
        <v>72</v>
      </c>
      <c r="G975" s="2">
        <v>45360</v>
      </c>
      <c r="H975" s="21">
        <f t="shared" si="15"/>
        <v>45352</v>
      </c>
      <c r="I975" s="26">
        <v>45365</v>
      </c>
      <c r="J975" s="3">
        <v>10.48</v>
      </c>
      <c r="K975" s="10">
        <f>Table2[[#This Row],[Order Quantity]]*Table2[[#This Row],[Price per Unit]]</f>
        <v>13781.2</v>
      </c>
    </row>
    <row r="976" spans="1:11">
      <c r="A976" s="1" t="s">
        <v>995</v>
      </c>
      <c r="B976" s="1" t="s">
        <v>15</v>
      </c>
      <c r="C976" s="1" t="s">
        <v>20</v>
      </c>
      <c r="D976" s="10">
        <v>2216</v>
      </c>
      <c r="E976" s="10">
        <v>2172</v>
      </c>
      <c r="F976" s="4">
        <v>118</v>
      </c>
      <c r="G976" s="2">
        <v>45308</v>
      </c>
      <c r="H976" s="21">
        <f t="shared" si="15"/>
        <v>45292</v>
      </c>
      <c r="I976" s="26">
        <v>45308</v>
      </c>
      <c r="J976" s="3">
        <v>8.93</v>
      </c>
      <c r="K976" s="10">
        <f>Table2[[#This Row],[Order Quantity]]*Table2[[#This Row],[Price per Unit]]</f>
        <v>19788.88</v>
      </c>
    </row>
    <row r="977" spans="1:11">
      <c r="A977" s="1" t="s">
        <v>996</v>
      </c>
      <c r="B977" s="1" t="s">
        <v>25</v>
      </c>
      <c r="C977" s="1" t="s">
        <v>13</v>
      </c>
      <c r="D977" s="10">
        <v>1672</v>
      </c>
      <c r="E977" s="10">
        <v>1714</v>
      </c>
      <c r="F977" s="4">
        <v>101</v>
      </c>
      <c r="G977" s="2">
        <v>45326</v>
      </c>
      <c r="H977" s="21">
        <f t="shared" si="15"/>
        <v>45323</v>
      </c>
      <c r="I977" s="26">
        <v>45331</v>
      </c>
      <c r="J977" s="3">
        <v>23.57</v>
      </c>
      <c r="K977" s="10">
        <f>Table2[[#This Row],[Order Quantity]]*Table2[[#This Row],[Price per Unit]]</f>
        <v>39409.040000000001</v>
      </c>
    </row>
    <row r="978" spans="1:11">
      <c r="A978" s="1" t="s">
        <v>997</v>
      </c>
      <c r="B978" s="1" t="s">
        <v>15</v>
      </c>
      <c r="C978" s="1" t="s">
        <v>16</v>
      </c>
      <c r="D978" s="10">
        <v>4097</v>
      </c>
      <c r="E978" s="10">
        <v>3850</v>
      </c>
      <c r="F978" s="4">
        <v>226</v>
      </c>
      <c r="G978" s="2">
        <v>45410</v>
      </c>
      <c r="H978" s="21">
        <f t="shared" si="15"/>
        <v>45413</v>
      </c>
      <c r="I978" s="26">
        <v>45413</v>
      </c>
      <c r="J978" s="3">
        <v>8.86</v>
      </c>
      <c r="K978" s="10">
        <f>Table2[[#This Row],[Order Quantity]]*Table2[[#This Row],[Price per Unit]]</f>
        <v>36299.42</v>
      </c>
    </row>
    <row r="979" spans="1:11">
      <c r="A979" s="1" t="s">
        <v>998</v>
      </c>
      <c r="B979" s="1" t="s">
        <v>12</v>
      </c>
      <c r="C979" s="1" t="s">
        <v>22</v>
      </c>
      <c r="D979" s="10">
        <v>1045</v>
      </c>
      <c r="E979" s="10">
        <v>948</v>
      </c>
      <c r="F979" s="4">
        <v>57</v>
      </c>
      <c r="G979" s="2">
        <v>45514</v>
      </c>
      <c r="H979" s="21">
        <f t="shared" si="15"/>
        <v>45505</v>
      </c>
      <c r="I979" s="26">
        <v>45514</v>
      </c>
      <c r="J979" s="3">
        <v>7.43</v>
      </c>
      <c r="K979" s="10">
        <f>Table2[[#This Row],[Order Quantity]]*Table2[[#This Row],[Price per Unit]]</f>
        <v>7764.3499999999995</v>
      </c>
    </row>
    <row r="980" spans="1:11">
      <c r="A980" s="1" t="s">
        <v>999</v>
      </c>
      <c r="B980" s="1" t="s">
        <v>12</v>
      </c>
      <c r="C980" s="1" t="s">
        <v>20</v>
      </c>
      <c r="D980" s="10">
        <v>4340</v>
      </c>
      <c r="E980" s="10">
        <v>4273</v>
      </c>
      <c r="F980" s="4">
        <v>222</v>
      </c>
      <c r="G980" s="2">
        <v>45397</v>
      </c>
      <c r="H980" s="21">
        <f t="shared" si="15"/>
        <v>45383</v>
      </c>
      <c r="I980" s="26">
        <v>45399</v>
      </c>
      <c r="J980" s="3">
        <v>8.33</v>
      </c>
      <c r="K980" s="10">
        <f>Table2[[#This Row],[Order Quantity]]*Table2[[#This Row],[Price per Unit]]</f>
        <v>36152.199999999997</v>
      </c>
    </row>
    <row r="981" spans="1:11">
      <c r="A981" s="1" t="s">
        <v>1000</v>
      </c>
      <c r="B981" s="1" t="s">
        <v>18</v>
      </c>
      <c r="C981" s="1" t="s">
        <v>16</v>
      </c>
      <c r="D981" s="10">
        <v>4809</v>
      </c>
      <c r="E981" s="10">
        <v>4976</v>
      </c>
      <c r="F981" s="4">
        <v>252</v>
      </c>
      <c r="G981" s="2">
        <v>45303</v>
      </c>
      <c r="H981" s="21">
        <f t="shared" si="15"/>
        <v>45292</v>
      </c>
      <c r="I981" s="26">
        <v>45303</v>
      </c>
      <c r="J981" s="3">
        <v>7.48</v>
      </c>
      <c r="K981" s="10">
        <f>Table2[[#This Row],[Order Quantity]]*Table2[[#This Row],[Price per Unit]]</f>
        <v>35971.32</v>
      </c>
    </row>
    <row r="982" spans="1:11">
      <c r="A982" s="1" t="s">
        <v>1001</v>
      </c>
      <c r="B982" s="1" t="s">
        <v>18</v>
      </c>
      <c r="C982" s="1" t="s">
        <v>45</v>
      </c>
      <c r="D982" s="10">
        <v>829</v>
      </c>
      <c r="E982" s="10">
        <v>819</v>
      </c>
      <c r="F982" s="4">
        <v>19</v>
      </c>
      <c r="G982" s="2">
        <v>45431</v>
      </c>
      <c r="H982" s="21">
        <f t="shared" si="15"/>
        <v>45413</v>
      </c>
      <c r="I982" s="26">
        <v>45431</v>
      </c>
      <c r="J982" s="3">
        <v>18.329999999999998</v>
      </c>
      <c r="K982" s="10">
        <f>Table2[[#This Row],[Order Quantity]]*Table2[[#This Row],[Price per Unit]]</f>
        <v>15195.569999999998</v>
      </c>
    </row>
    <row r="983" spans="1:11">
      <c r="A983" s="1" t="s">
        <v>1002</v>
      </c>
      <c r="B983" s="1" t="s">
        <v>15</v>
      </c>
      <c r="C983" s="1" t="s">
        <v>13</v>
      </c>
      <c r="D983" s="10">
        <v>3067</v>
      </c>
      <c r="E983" s="10">
        <v>2888</v>
      </c>
      <c r="F983" s="4">
        <v>56</v>
      </c>
      <c r="G983" s="2">
        <v>45503</v>
      </c>
      <c r="H983" s="21">
        <f t="shared" si="15"/>
        <v>45505</v>
      </c>
      <c r="I983" s="26">
        <v>45510</v>
      </c>
      <c r="J983" s="3">
        <v>19.559999999999999</v>
      </c>
      <c r="K983" s="10">
        <f>Table2[[#This Row],[Order Quantity]]*Table2[[#This Row],[Price per Unit]]</f>
        <v>59990.52</v>
      </c>
    </row>
    <row r="984" spans="1:11">
      <c r="A984" s="1" t="s">
        <v>1003</v>
      </c>
      <c r="B984" s="1" t="s">
        <v>27</v>
      </c>
      <c r="C984" s="1" t="s">
        <v>13</v>
      </c>
      <c r="D984" s="10">
        <v>1373</v>
      </c>
      <c r="E984" s="10">
        <v>1325</v>
      </c>
      <c r="F984" s="4">
        <v>74</v>
      </c>
      <c r="G984" s="2">
        <v>45633</v>
      </c>
      <c r="H984" s="21">
        <f t="shared" si="15"/>
        <v>45627</v>
      </c>
      <c r="I984" s="26">
        <v>45635</v>
      </c>
      <c r="J984" s="3">
        <v>13.75</v>
      </c>
      <c r="K984" s="10">
        <f>Table2[[#This Row],[Order Quantity]]*Table2[[#This Row],[Price per Unit]]</f>
        <v>18878.75</v>
      </c>
    </row>
    <row r="985" spans="1:11">
      <c r="A985" s="1" t="s">
        <v>1004</v>
      </c>
      <c r="B985" s="1" t="s">
        <v>15</v>
      </c>
      <c r="C985" s="1" t="s">
        <v>20</v>
      </c>
      <c r="D985" s="10">
        <v>2783</v>
      </c>
      <c r="E985" s="10">
        <v>2649</v>
      </c>
      <c r="F985" s="4">
        <v>199</v>
      </c>
      <c r="G985" s="2">
        <v>45426</v>
      </c>
      <c r="H985" s="21">
        <f t="shared" si="15"/>
        <v>45413</v>
      </c>
      <c r="I985" s="26">
        <v>45426</v>
      </c>
      <c r="J985" s="3">
        <v>23.45</v>
      </c>
      <c r="K985" s="10">
        <f>Table2[[#This Row],[Order Quantity]]*Table2[[#This Row],[Price per Unit]]</f>
        <v>65261.35</v>
      </c>
    </row>
    <row r="986" spans="1:11">
      <c r="A986" s="1" t="s">
        <v>1005</v>
      </c>
      <c r="B986" s="1" t="s">
        <v>18</v>
      </c>
      <c r="C986" s="1" t="s">
        <v>22</v>
      </c>
      <c r="D986" s="10">
        <v>1769</v>
      </c>
      <c r="E986" s="10">
        <v>1820</v>
      </c>
      <c r="F986" s="4">
        <v>58</v>
      </c>
      <c r="G986" s="2">
        <v>45436</v>
      </c>
      <c r="H986" s="21">
        <f t="shared" si="15"/>
        <v>45413</v>
      </c>
      <c r="I986" s="26">
        <v>45436</v>
      </c>
      <c r="J986" s="3">
        <v>22.04</v>
      </c>
      <c r="K986" s="10">
        <f>Table2[[#This Row],[Order Quantity]]*Table2[[#This Row],[Price per Unit]]</f>
        <v>38988.76</v>
      </c>
    </row>
    <row r="987" spans="1:11">
      <c r="A987" s="1" t="s">
        <v>1006</v>
      </c>
      <c r="B987" s="1" t="s">
        <v>25</v>
      </c>
      <c r="C987" s="1" t="s">
        <v>22</v>
      </c>
      <c r="D987" s="10">
        <v>741</v>
      </c>
      <c r="E987" s="10">
        <v>673</v>
      </c>
      <c r="F987" s="4">
        <v>22</v>
      </c>
      <c r="G987" s="2">
        <v>45539</v>
      </c>
      <c r="H987" s="21">
        <f t="shared" si="15"/>
        <v>45536</v>
      </c>
      <c r="I987" s="26">
        <v>45542</v>
      </c>
      <c r="J987" s="3">
        <v>18.46</v>
      </c>
      <c r="K987" s="10">
        <f>Table2[[#This Row],[Order Quantity]]*Table2[[#This Row],[Price per Unit]]</f>
        <v>13678.86</v>
      </c>
    </row>
    <row r="988" spans="1:11">
      <c r="A988" s="1" t="s">
        <v>1007</v>
      </c>
      <c r="B988" s="1" t="s">
        <v>15</v>
      </c>
      <c r="C988" s="1" t="s">
        <v>45</v>
      </c>
      <c r="D988" s="10">
        <v>4424</v>
      </c>
      <c r="E988" s="10">
        <v>4168</v>
      </c>
      <c r="F988" s="4">
        <v>175</v>
      </c>
      <c r="G988" s="2">
        <v>45309</v>
      </c>
      <c r="H988" s="21">
        <f t="shared" si="15"/>
        <v>45292</v>
      </c>
      <c r="I988" s="26">
        <v>45316</v>
      </c>
      <c r="J988" s="3">
        <v>14.51</v>
      </c>
      <c r="K988" s="10">
        <f>Table2[[#This Row],[Order Quantity]]*Table2[[#This Row],[Price per Unit]]</f>
        <v>64192.24</v>
      </c>
    </row>
    <row r="989" spans="1:11">
      <c r="A989" s="1" t="s">
        <v>1008</v>
      </c>
      <c r="B989" s="1" t="s">
        <v>18</v>
      </c>
      <c r="C989" s="1" t="s">
        <v>45</v>
      </c>
      <c r="D989" s="10">
        <v>3279</v>
      </c>
      <c r="E989" s="10">
        <v>3003</v>
      </c>
      <c r="F989" s="4">
        <v>206</v>
      </c>
      <c r="G989" s="2">
        <v>45574</v>
      </c>
      <c r="H989" s="21">
        <f t="shared" si="15"/>
        <v>45566</v>
      </c>
      <c r="I989" s="26">
        <v>45574</v>
      </c>
      <c r="J989" s="3">
        <v>9.8000000000000007</v>
      </c>
      <c r="K989" s="10">
        <f>Table2[[#This Row],[Order Quantity]]*Table2[[#This Row],[Price per Unit]]</f>
        <v>32134.2</v>
      </c>
    </row>
    <row r="990" spans="1:11">
      <c r="A990" s="1" t="s">
        <v>1009</v>
      </c>
      <c r="B990" s="1" t="s">
        <v>15</v>
      </c>
      <c r="C990" s="1" t="s">
        <v>20</v>
      </c>
      <c r="D990" s="10">
        <v>609</v>
      </c>
      <c r="E990" s="10">
        <v>623</v>
      </c>
      <c r="F990" s="4">
        <v>22</v>
      </c>
      <c r="G990" s="2">
        <v>45316</v>
      </c>
      <c r="H990" s="21">
        <f t="shared" si="15"/>
        <v>45292</v>
      </c>
      <c r="I990" s="26">
        <v>45316</v>
      </c>
      <c r="J990" s="3">
        <v>24.62</v>
      </c>
      <c r="K990" s="10">
        <f>Table2[[#This Row],[Order Quantity]]*Table2[[#This Row],[Price per Unit]]</f>
        <v>14993.58</v>
      </c>
    </row>
    <row r="991" spans="1:11">
      <c r="A991" s="1" t="s">
        <v>1010</v>
      </c>
      <c r="B991" s="1" t="s">
        <v>12</v>
      </c>
      <c r="C991" s="1" t="s">
        <v>22</v>
      </c>
      <c r="D991" s="10">
        <v>3338</v>
      </c>
      <c r="E991" s="10">
        <v>3022</v>
      </c>
      <c r="F991" s="4">
        <v>41</v>
      </c>
      <c r="G991" s="2">
        <v>45578</v>
      </c>
      <c r="H991" s="21">
        <f t="shared" si="15"/>
        <v>45566</v>
      </c>
      <c r="I991" s="26">
        <v>45585</v>
      </c>
      <c r="J991" s="3">
        <v>21.68</v>
      </c>
      <c r="K991" s="10">
        <f>Table2[[#This Row],[Order Quantity]]*Table2[[#This Row],[Price per Unit]]</f>
        <v>72367.839999999997</v>
      </c>
    </row>
    <row r="992" spans="1:11">
      <c r="A992" s="1" t="s">
        <v>1011</v>
      </c>
      <c r="B992" s="1" t="s">
        <v>18</v>
      </c>
      <c r="C992" s="1" t="s">
        <v>22</v>
      </c>
      <c r="D992" s="10">
        <v>954</v>
      </c>
      <c r="E992" s="10">
        <v>921</v>
      </c>
      <c r="F992" s="4">
        <v>63</v>
      </c>
      <c r="G992" s="2">
        <v>45520</v>
      </c>
      <c r="H992" s="21">
        <f t="shared" si="15"/>
        <v>45505</v>
      </c>
      <c r="I992" s="26">
        <v>45520</v>
      </c>
      <c r="J992" s="3">
        <v>10.25</v>
      </c>
      <c r="K992" s="10">
        <f>Table2[[#This Row],[Order Quantity]]*Table2[[#This Row],[Price per Unit]]</f>
        <v>9778.5</v>
      </c>
    </row>
    <row r="993" spans="1:11">
      <c r="A993" s="1" t="s">
        <v>1012</v>
      </c>
      <c r="B993" s="1" t="s">
        <v>12</v>
      </c>
      <c r="C993" s="1" t="s">
        <v>20</v>
      </c>
      <c r="D993" s="10">
        <v>1095</v>
      </c>
      <c r="E993" s="10">
        <v>1059</v>
      </c>
      <c r="F993" s="4">
        <v>53</v>
      </c>
      <c r="G993" s="2">
        <v>45401</v>
      </c>
      <c r="H993" s="21">
        <f t="shared" si="15"/>
        <v>45383</v>
      </c>
      <c r="I993" s="26">
        <v>45404</v>
      </c>
      <c r="J993" s="3">
        <v>16.420000000000002</v>
      </c>
      <c r="K993" s="10">
        <f>Table2[[#This Row],[Order Quantity]]*Table2[[#This Row],[Price per Unit]]</f>
        <v>17979.900000000001</v>
      </c>
    </row>
    <row r="994" spans="1:11">
      <c r="A994" s="1" t="s">
        <v>1013</v>
      </c>
      <c r="B994" s="1" t="s">
        <v>25</v>
      </c>
      <c r="C994" s="1" t="s">
        <v>16</v>
      </c>
      <c r="D994" s="10">
        <v>2635</v>
      </c>
      <c r="E994" s="10">
        <v>2615</v>
      </c>
      <c r="F994" s="4">
        <v>188</v>
      </c>
      <c r="G994" s="2">
        <v>45634</v>
      </c>
      <c r="H994" s="21">
        <f t="shared" si="15"/>
        <v>45627</v>
      </c>
      <c r="I994" s="26">
        <v>45635</v>
      </c>
      <c r="J994" s="3">
        <v>9.6300000000000008</v>
      </c>
      <c r="K994" s="10">
        <f>Table2[[#This Row],[Order Quantity]]*Table2[[#This Row],[Price per Unit]]</f>
        <v>25375.050000000003</v>
      </c>
    </row>
    <row r="995" spans="1:11">
      <c r="A995" s="1" t="s">
        <v>1014</v>
      </c>
      <c r="B995" s="1" t="s">
        <v>27</v>
      </c>
      <c r="C995" s="1" t="s">
        <v>45</v>
      </c>
      <c r="D995" s="10">
        <v>676</v>
      </c>
      <c r="E995" s="10">
        <v>706</v>
      </c>
      <c r="F995" s="4">
        <v>55</v>
      </c>
      <c r="G995" s="2">
        <v>45304</v>
      </c>
      <c r="H995" s="21">
        <f t="shared" si="15"/>
        <v>45292</v>
      </c>
      <c r="I995" s="26">
        <v>45311</v>
      </c>
      <c r="J995" s="3">
        <v>22.3</v>
      </c>
      <c r="K995" s="10">
        <f>Table2[[#This Row],[Order Quantity]]*Table2[[#This Row],[Price per Unit]]</f>
        <v>15074.800000000001</v>
      </c>
    </row>
    <row r="996" spans="1:11">
      <c r="A996" s="1" t="s">
        <v>1015</v>
      </c>
      <c r="B996" s="1" t="s">
        <v>18</v>
      </c>
      <c r="C996" s="1" t="s">
        <v>45</v>
      </c>
      <c r="D996" s="10">
        <v>3613</v>
      </c>
      <c r="E996" s="10">
        <v>3593</v>
      </c>
      <c r="F996" s="4">
        <v>150</v>
      </c>
      <c r="G996" s="2">
        <v>45570</v>
      </c>
      <c r="H996" s="21">
        <f t="shared" si="15"/>
        <v>45566</v>
      </c>
      <c r="I996" s="26">
        <v>45570</v>
      </c>
      <c r="J996" s="3">
        <v>14.64</v>
      </c>
      <c r="K996" s="10">
        <f>Table2[[#This Row],[Order Quantity]]*Table2[[#This Row],[Price per Unit]]</f>
        <v>52894.32</v>
      </c>
    </row>
    <row r="997" spans="1:11">
      <c r="A997" s="1" t="s">
        <v>1016</v>
      </c>
      <c r="B997" s="1" t="s">
        <v>15</v>
      </c>
      <c r="C997" s="1" t="s">
        <v>13</v>
      </c>
      <c r="D997" s="10">
        <v>3881</v>
      </c>
      <c r="E997" s="10">
        <v>3591</v>
      </c>
      <c r="F997" s="4">
        <v>59</v>
      </c>
      <c r="G997" s="2">
        <v>45309</v>
      </c>
      <c r="H997" s="21">
        <f t="shared" si="15"/>
        <v>45292</v>
      </c>
      <c r="I997" s="26">
        <v>45309</v>
      </c>
      <c r="J997" s="3">
        <v>13.38</v>
      </c>
      <c r="K997" s="10">
        <f>Table2[[#This Row],[Order Quantity]]*Table2[[#This Row],[Price per Unit]]</f>
        <v>51927.780000000006</v>
      </c>
    </row>
    <row r="998" spans="1:11">
      <c r="A998" s="1" t="s">
        <v>1017</v>
      </c>
      <c r="B998" s="1" t="s">
        <v>15</v>
      </c>
      <c r="C998" s="1" t="s">
        <v>13</v>
      </c>
      <c r="D998" s="10">
        <v>504</v>
      </c>
      <c r="E998" s="10">
        <v>466</v>
      </c>
      <c r="F998" s="4">
        <v>6</v>
      </c>
      <c r="G998" s="2">
        <v>45550</v>
      </c>
      <c r="H998" s="21">
        <f t="shared" si="15"/>
        <v>45536</v>
      </c>
      <c r="I998" s="26">
        <v>45550</v>
      </c>
      <c r="J998" s="3">
        <v>11.35</v>
      </c>
      <c r="K998" s="10">
        <f>Table2[[#This Row],[Order Quantity]]*Table2[[#This Row],[Price per Unit]]</f>
        <v>5720.4</v>
      </c>
    </row>
    <row r="999" spans="1:11">
      <c r="A999" s="1" t="s">
        <v>1018</v>
      </c>
      <c r="B999" s="1" t="s">
        <v>18</v>
      </c>
      <c r="C999" s="1" t="s">
        <v>45</v>
      </c>
      <c r="D999" s="10">
        <v>3163</v>
      </c>
      <c r="E999" s="10">
        <v>3112</v>
      </c>
      <c r="F999" s="4">
        <v>143</v>
      </c>
      <c r="G999" s="2">
        <v>45399</v>
      </c>
      <c r="H999" s="21">
        <f t="shared" si="15"/>
        <v>45383</v>
      </c>
      <c r="I999" s="26">
        <v>45400</v>
      </c>
      <c r="J999" s="3">
        <v>6.99</v>
      </c>
      <c r="K999" s="10">
        <f>Table2[[#This Row],[Order Quantity]]*Table2[[#This Row],[Price per Unit]]</f>
        <v>22109.37</v>
      </c>
    </row>
    <row r="1000" spans="1:11">
      <c r="A1000" s="1" t="s">
        <v>1019</v>
      </c>
      <c r="B1000" s="1" t="s">
        <v>15</v>
      </c>
      <c r="C1000" s="1" t="s">
        <v>13</v>
      </c>
      <c r="D1000" s="10">
        <v>3136</v>
      </c>
      <c r="E1000" s="10">
        <v>3227</v>
      </c>
      <c r="F1000" s="4">
        <v>189</v>
      </c>
      <c r="G1000" s="2">
        <v>45573</v>
      </c>
      <c r="H1000" s="21">
        <f t="shared" si="15"/>
        <v>45566</v>
      </c>
      <c r="I1000" s="26">
        <v>45573</v>
      </c>
      <c r="J1000" s="3">
        <v>5.21</v>
      </c>
      <c r="K1000" s="10">
        <f>Table2[[#This Row],[Order Quantity]]*Table2[[#This Row],[Price per Unit]]</f>
        <v>16338.56</v>
      </c>
    </row>
    <row r="1001" spans="1:11">
      <c r="A1001" s="1" t="s">
        <v>1020</v>
      </c>
      <c r="B1001" s="1" t="s">
        <v>15</v>
      </c>
      <c r="C1001" s="1" t="s">
        <v>45</v>
      </c>
      <c r="D1001" s="10">
        <v>3659</v>
      </c>
      <c r="E1001" s="10">
        <v>3482</v>
      </c>
      <c r="F1001" s="4">
        <v>43</v>
      </c>
      <c r="G1001" s="2">
        <v>45620</v>
      </c>
      <c r="H1001" s="21">
        <f t="shared" si="15"/>
        <v>45627</v>
      </c>
      <c r="I1001" s="26">
        <v>45627</v>
      </c>
      <c r="J1001" s="3">
        <v>19.920000000000002</v>
      </c>
      <c r="K1001" s="10">
        <f>Table2[[#This Row],[Order Quantity]]*Table2[[#This Row],[Price per Unit]]</f>
        <v>72887.280000000013</v>
      </c>
    </row>
  </sheetData>
  <conditionalFormatting sqref="A1:A1048576">
    <cfRule type="expression" dxfId="15" priority="1">
      <formula>COUNTIF($A:$A, A2)&gt;1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4A81-D730-46C4-8CCB-244DD216F307}">
  <dimension ref="C1:H11"/>
  <sheetViews>
    <sheetView topLeftCell="A5" workbookViewId="0">
      <selection activeCell="G23" sqref="G23"/>
    </sheetView>
  </sheetViews>
  <sheetFormatPr defaultRowHeight="15"/>
  <cols>
    <col min="1" max="1" width="11.42578125" bestFit="1" customWidth="1"/>
    <col min="2" max="2" width="12" customWidth="1"/>
    <col min="3" max="3" width="12.140625" customWidth="1"/>
    <col min="4" max="4" width="14.85546875" customWidth="1"/>
    <col min="5" max="5" width="22.28515625" customWidth="1"/>
    <col min="6" max="6" width="14.28515625" customWidth="1"/>
    <col min="7" max="7" width="15.7109375" customWidth="1"/>
    <col min="8" max="8" width="17.5703125" customWidth="1"/>
  </cols>
  <sheetData>
    <row r="1" spans="3:8" ht="31.5" customHeight="1">
      <c r="E1" s="33" t="s">
        <v>1021</v>
      </c>
      <c r="F1" s="34"/>
      <c r="G1" s="34"/>
      <c r="H1" s="32"/>
    </row>
    <row r="2" spans="3:8" ht="20.25" customHeight="1"/>
    <row r="4" spans="3:8" ht="19.5" customHeight="1"/>
    <row r="5" spans="3:8" ht="30.75">
      <c r="C5" s="11" t="s">
        <v>1</v>
      </c>
      <c r="D5" s="12" t="s">
        <v>1022</v>
      </c>
      <c r="E5" s="29" t="s">
        <v>1023</v>
      </c>
    </row>
    <row r="6" spans="3:8" ht="18.75" customHeight="1">
      <c r="C6" s="12" t="s">
        <v>27</v>
      </c>
      <c r="D6" s="14">
        <v>8860384.8999999966</v>
      </c>
      <c r="E6" s="13">
        <v>0.21284456054090373</v>
      </c>
    </row>
    <row r="7" spans="3:8">
      <c r="C7" s="12" t="s">
        <v>18</v>
      </c>
      <c r="D7" s="14">
        <v>8629139.5399999954</v>
      </c>
      <c r="E7" s="13">
        <v>0.20728957420771141</v>
      </c>
    </row>
    <row r="8" spans="3:8">
      <c r="C8" s="12" t="s">
        <v>12</v>
      </c>
      <c r="D8" s="14">
        <v>8620279.7899999991</v>
      </c>
      <c r="E8" s="13">
        <v>0.20707674489876668</v>
      </c>
    </row>
    <row r="9" spans="3:8">
      <c r="C9" s="12" t="s">
        <v>15</v>
      </c>
      <c r="D9" s="14">
        <v>7843536.549999998</v>
      </c>
      <c r="E9" s="13">
        <v>0.18841778420610894</v>
      </c>
    </row>
    <row r="10" spans="3:8">
      <c r="C10" s="12" t="s">
        <v>25</v>
      </c>
      <c r="D10" s="14">
        <v>7675089.2699999968</v>
      </c>
      <c r="E10" s="13">
        <v>0.18437133614650933</v>
      </c>
    </row>
    <row r="11" spans="3:8">
      <c r="C11" s="12" t="s">
        <v>1024</v>
      </c>
      <c r="D11" s="14">
        <v>41628430.049999982</v>
      </c>
      <c r="E11" s="13">
        <v>1</v>
      </c>
    </row>
  </sheetData>
  <mergeCells count="1">
    <mergeCell ref="E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A27D-CA1D-446C-AF9B-97933DC52957}">
  <dimension ref="A2:G19"/>
  <sheetViews>
    <sheetView tabSelected="1" workbookViewId="0">
      <selection activeCell="P7" sqref="P7"/>
    </sheetView>
  </sheetViews>
  <sheetFormatPr defaultRowHeight="15"/>
  <cols>
    <col min="1" max="1" width="11.42578125" style="19" bestFit="1" customWidth="1"/>
    <col min="2" max="2" width="12.140625" bestFit="1" customWidth="1"/>
    <col min="3" max="3" width="12.140625" customWidth="1"/>
    <col min="4" max="4" width="19.28515625" customWidth="1"/>
    <col min="5" max="5" width="18.85546875" customWidth="1"/>
    <col min="6" max="6" width="14.42578125" customWidth="1"/>
  </cols>
  <sheetData>
    <row r="2" spans="3:7" ht="18.75">
      <c r="E2" s="31" t="s">
        <v>1025</v>
      </c>
      <c r="F2" s="30"/>
      <c r="G2" s="30"/>
    </row>
    <row r="4" spans="3:7" ht="20.25" customHeight="1"/>
    <row r="5" spans="3:7" ht="15.75" customHeight="1">
      <c r="C5" s="35" t="s">
        <v>7</v>
      </c>
      <c r="D5" s="37" t="s">
        <v>1026</v>
      </c>
    </row>
    <row r="6" spans="3:7">
      <c r="C6" s="36">
        <v>45292</v>
      </c>
      <c r="D6" s="15">
        <v>3676331.4700000007</v>
      </c>
    </row>
    <row r="7" spans="3:7">
      <c r="C7" s="36">
        <v>45323</v>
      </c>
      <c r="D7" s="15">
        <v>2936053.5400000005</v>
      </c>
    </row>
    <row r="8" spans="3:7">
      <c r="C8" s="36">
        <v>45352</v>
      </c>
      <c r="D8" s="15">
        <v>3570726.8400000008</v>
      </c>
    </row>
    <row r="9" spans="3:7">
      <c r="C9" s="36">
        <v>45383</v>
      </c>
      <c r="D9" s="15">
        <v>3783805.46</v>
      </c>
    </row>
    <row r="10" spans="3:7">
      <c r="C10" s="36">
        <v>45413</v>
      </c>
      <c r="D10" s="15">
        <v>3901565.0800000005</v>
      </c>
    </row>
    <row r="11" spans="3:7">
      <c r="C11" s="36">
        <v>45444</v>
      </c>
      <c r="D11" s="15">
        <v>4011732.8100000024</v>
      </c>
    </row>
    <row r="12" spans="3:7">
      <c r="C12" s="36">
        <v>45474</v>
      </c>
      <c r="D12" s="15">
        <v>3168394.6900000004</v>
      </c>
    </row>
    <row r="13" spans="3:7">
      <c r="C13" s="36">
        <v>45505</v>
      </c>
      <c r="D13" s="15">
        <v>3105027.5200000014</v>
      </c>
    </row>
    <row r="14" spans="3:7">
      <c r="C14" s="36">
        <v>45536</v>
      </c>
      <c r="D14" s="15">
        <v>3052430.43</v>
      </c>
    </row>
    <row r="15" spans="3:7">
      <c r="C15" s="36">
        <v>45566</v>
      </c>
      <c r="D15" s="15">
        <v>3464491.3099999991</v>
      </c>
    </row>
    <row r="16" spans="3:7">
      <c r="C16" s="36">
        <v>45597</v>
      </c>
      <c r="D16" s="15">
        <v>3105148.2700000005</v>
      </c>
    </row>
    <row r="17" spans="3:4">
      <c r="C17" s="36">
        <v>45627</v>
      </c>
      <c r="D17" s="15">
        <v>3740859.9899999998</v>
      </c>
    </row>
    <row r="18" spans="3:4">
      <c r="C18" s="36">
        <v>45658</v>
      </c>
      <c r="D18" s="15">
        <v>111862.64</v>
      </c>
    </row>
    <row r="19" spans="3:4">
      <c r="C19" s="2" t="s">
        <v>1024</v>
      </c>
      <c r="D19" s="15">
        <v>41628430.050000019</v>
      </c>
    </row>
  </sheetData>
  <sheetProtection sheet="1" objects="1" scenarios="1"/>
  <mergeCells count="1">
    <mergeCell ref="E2:G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389F-2BC0-4C8A-9A92-2B07967ED51A}">
  <dimension ref="B2:F12"/>
  <sheetViews>
    <sheetView workbookViewId="0">
      <selection activeCell="C18" sqref="C18"/>
    </sheetView>
  </sheetViews>
  <sheetFormatPr defaultRowHeight="15"/>
  <cols>
    <col min="1" max="1" width="15.7109375" bestFit="1" customWidth="1"/>
    <col min="2" max="2" width="15.7109375" customWidth="1"/>
    <col min="3" max="3" width="12.140625" customWidth="1"/>
    <col min="4" max="4" width="18.7109375" customWidth="1"/>
    <col min="5" max="5" width="16.140625" customWidth="1"/>
  </cols>
  <sheetData>
    <row r="2" spans="2:6" ht="18.75">
      <c r="D2" s="31" t="s">
        <v>1027</v>
      </c>
      <c r="E2" s="30"/>
      <c r="F2" s="30"/>
    </row>
    <row r="6" spans="2:6">
      <c r="B6" s="17" t="s">
        <v>1028</v>
      </c>
      <c r="C6" s="1" t="s">
        <v>1029</v>
      </c>
    </row>
    <row r="7" spans="2:6">
      <c r="B7" s="1" t="s">
        <v>45</v>
      </c>
      <c r="C7" s="15">
        <v>9052277.5799999982</v>
      </c>
    </row>
    <row r="8" spans="2:6">
      <c r="B8" s="1" t="s">
        <v>16</v>
      </c>
      <c r="C8" s="15">
        <v>8828702.1999999937</v>
      </c>
    </row>
    <row r="9" spans="2:6">
      <c r="B9" s="1" t="s">
        <v>20</v>
      </c>
      <c r="C9" s="15">
        <v>8745380.1100000013</v>
      </c>
    </row>
    <row r="10" spans="2:6">
      <c r="B10" s="1" t="s">
        <v>22</v>
      </c>
      <c r="C10" s="15">
        <v>7574511.4800000004</v>
      </c>
    </row>
    <row r="11" spans="2:6">
      <c r="B11" s="1" t="s">
        <v>13</v>
      </c>
      <c r="C11" s="15">
        <v>7427558.6799999969</v>
      </c>
    </row>
    <row r="12" spans="2:6">
      <c r="B12" s="1" t="s">
        <v>1024</v>
      </c>
      <c r="C12" s="15">
        <v>41628430.049999997</v>
      </c>
    </row>
  </sheetData>
  <mergeCells count="1">
    <mergeCell ref="D2:F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351F-32AB-4C21-8166-F17735707402}">
  <dimension ref="B2:F11"/>
  <sheetViews>
    <sheetView topLeftCell="A6" workbookViewId="0">
      <selection activeCell="J8" sqref="J8"/>
    </sheetView>
  </sheetViews>
  <sheetFormatPr defaultRowHeight="15"/>
  <cols>
    <col min="1" max="1" width="12" bestFit="1" customWidth="1"/>
    <col min="2" max="2" width="21.140625" bestFit="1" customWidth="1"/>
    <col min="3" max="3" width="12" bestFit="1" customWidth="1"/>
    <col min="4" max="4" width="21.140625" customWidth="1"/>
    <col min="5" max="5" width="25.7109375" customWidth="1"/>
    <col min="7" max="7" width="10" bestFit="1" customWidth="1"/>
  </cols>
  <sheetData>
    <row r="2" spans="2:6" ht="18.75">
      <c r="D2" s="31" t="s">
        <v>1030</v>
      </c>
      <c r="E2" s="30"/>
      <c r="F2" s="30"/>
    </row>
    <row r="5" spans="2:6">
      <c r="B5" s="17" t="s">
        <v>1</v>
      </c>
      <c r="C5" s="1" t="s">
        <v>1031</v>
      </c>
      <c r="D5" s="1" t="s">
        <v>1032</v>
      </c>
      <c r="E5" s="24" t="s">
        <v>18</v>
      </c>
    </row>
    <row r="6" spans="2:6">
      <c r="B6" s="1" t="s">
        <v>18</v>
      </c>
      <c r="C6" s="22">
        <v>593805</v>
      </c>
      <c r="D6" s="22">
        <v>579004</v>
      </c>
      <c r="E6" s="22">
        <f>C6-D6</f>
        <v>14801</v>
      </c>
    </row>
    <row r="7" spans="2:6">
      <c r="B7" s="1" t="s">
        <v>12</v>
      </c>
      <c r="C7" s="22">
        <v>555885</v>
      </c>
      <c r="D7" s="22">
        <v>537626</v>
      </c>
      <c r="E7" s="22">
        <f t="shared" ref="E7:E11" si="0">C7-D7</f>
        <v>18259</v>
      </c>
    </row>
    <row r="8" spans="2:6">
      <c r="B8" s="1" t="s">
        <v>27</v>
      </c>
      <c r="C8" s="22">
        <v>589366</v>
      </c>
      <c r="D8" s="22">
        <v>572710</v>
      </c>
      <c r="E8" s="22">
        <f t="shared" si="0"/>
        <v>16656</v>
      </c>
    </row>
    <row r="9" spans="2:6">
      <c r="B9" s="1" t="s">
        <v>15</v>
      </c>
      <c r="C9" s="22">
        <v>543289</v>
      </c>
      <c r="D9" s="22">
        <v>530580</v>
      </c>
      <c r="E9" s="22">
        <f t="shared" si="0"/>
        <v>12709</v>
      </c>
    </row>
    <row r="10" spans="2:6">
      <c r="B10" s="1" t="s">
        <v>25</v>
      </c>
      <c r="C10" s="22">
        <v>505842</v>
      </c>
      <c r="D10" s="22">
        <v>490129</v>
      </c>
      <c r="E10" s="22">
        <f t="shared" si="0"/>
        <v>15713</v>
      </c>
    </row>
    <row r="11" spans="2:6">
      <c r="B11" s="1" t="s">
        <v>1024</v>
      </c>
      <c r="C11" s="22">
        <v>2788187</v>
      </c>
      <c r="D11" s="22">
        <v>2710049</v>
      </c>
      <c r="E11" s="23">
        <f t="shared" si="0"/>
        <v>78138</v>
      </c>
    </row>
  </sheetData>
  <mergeCells count="1">
    <mergeCell ref="D2:F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8EE1-5351-4FD4-B83F-3845000F4F76}">
  <dimension ref="B2:F37"/>
  <sheetViews>
    <sheetView workbookViewId="0">
      <selection activeCell="L12" sqref="L12"/>
    </sheetView>
  </sheetViews>
  <sheetFormatPr defaultRowHeight="15"/>
  <cols>
    <col min="1" max="1" width="11.42578125" bestFit="1" customWidth="1"/>
    <col min="2" max="2" width="14.28515625" bestFit="1" customWidth="1"/>
    <col min="3" max="3" width="18.5703125" style="27" customWidth="1"/>
    <col min="4" max="4" width="16.42578125" customWidth="1"/>
    <col min="5" max="5" width="14.28515625" style="18" customWidth="1"/>
    <col min="6" max="6" width="16.42578125" customWidth="1"/>
    <col min="7" max="7" width="8.7109375" bestFit="1" customWidth="1"/>
  </cols>
  <sheetData>
    <row r="2" spans="2:6" ht="37.5" customHeight="1">
      <c r="E2" s="39" t="s">
        <v>1033</v>
      </c>
      <c r="F2" s="39"/>
    </row>
    <row r="6" spans="2:6">
      <c r="B6" s="17" t="s">
        <v>1</v>
      </c>
      <c r="C6" s="17" t="s">
        <v>2</v>
      </c>
      <c r="D6" s="38" t="s">
        <v>1034</v>
      </c>
      <c r="E6" s="1" t="s">
        <v>1035</v>
      </c>
    </row>
    <row r="7" spans="2:6">
      <c r="B7" s="1" t="s">
        <v>15</v>
      </c>
      <c r="C7" s="1" t="s">
        <v>16</v>
      </c>
      <c r="D7" s="10">
        <v>3658</v>
      </c>
      <c r="E7" s="28">
        <v>0.15568607422540007</v>
      </c>
    </row>
    <row r="8" spans="2:6">
      <c r="B8" s="1"/>
      <c r="C8" s="1" t="s">
        <v>45</v>
      </c>
      <c r="D8" s="10">
        <v>4926</v>
      </c>
      <c r="E8" s="28">
        <v>0.20965270684371809</v>
      </c>
    </row>
    <row r="9" spans="2:6">
      <c r="B9" s="1"/>
      <c r="C9" s="1" t="s">
        <v>13</v>
      </c>
      <c r="D9" s="10">
        <v>4174</v>
      </c>
      <c r="E9" s="28">
        <v>0.17764725910793328</v>
      </c>
    </row>
    <row r="10" spans="2:6">
      <c r="B10" s="1"/>
      <c r="C10" s="1" t="s">
        <v>20</v>
      </c>
      <c r="D10" s="10">
        <v>6736</v>
      </c>
      <c r="E10" s="28">
        <v>0.2866870956758597</v>
      </c>
    </row>
    <row r="11" spans="2:6">
      <c r="B11" s="1"/>
      <c r="C11" s="1" t="s">
        <v>22</v>
      </c>
      <c r="D11" s="10">
        <v>4002</v>
      </c>
      <c r="E11" s="28">
        <v>0.17032686414708886</v>
      </c>
    </row>
    <row r="12" spans="2:6">
      <c r="B12" s="1" t="s">
        <v>1036</v>
      </c>
      <c r="C12" s="1"/>
      <c r="D12" s="10">
        <v>23496</v>
      </c>
      <c r="E12" s="28">
        <v>1</v>
      </c>
    </row>
    <row r="13" spans="2:6">
      <c r="B13" s="1" t="s">
        <v>1024</v>
      </c>
      <c r="C13" s="1"/>
      <c r="D13" s="10">
        <v>23496</v>
      </c>
      <c r="E13" s="28">
        <v>1</v>
      </c>
    </row>
    <row r="14" spans="2:6">
      <c r="C14"/>
      <c r="E14"/>
    </row>
    <row r="15" spans="2:6">
      <c r="C15"/>
      <c r="E15"/>
    </row>
    <row r="16" spans="2:6">
      <c r="C16"/>
      <c r="E16"/>
    </row>
    <row r="17" spans="3:5">
      <c r="C17"/>
      <c r="E17"/>
    </row>
    <row r="18" spans="3:5">
      <c r="C18"/>
      <c r="E18"/>
    </row>
    <row r="19" spans="3:5">
      <c r="C19"/>
      <c r="E19"/>
    </row>
    <row r="20" spans="3:5">
      <c r="C20"/>
      <c r="E20"/>
    </row>
    <row r="21" spans="3:5">
      <c r="C21"/>
      <c r="E21"/>
    </row>
    <row r="22" spans="3:5">
      <c r="C22"/>
      <c r="E22"/>
    </row>
    <row r="23" spans="3:5">
      <c r="C23"/>
      <c r="E23"/>
    </row>
    <row r="24" spans="3:5">
      <c r="C24"/>
      <c r="E24"/>
    </row>
    <row r="25" spans="3:5">
      <c r="C25"/>
      <c r="E25"/>
    </row>
    <row r="26" spans="3:5">
      <c r="C26"/>
      <c r="E26"/>
    </row>
    <row r="27" spans="3:5">
      <c r="C27"/>
      <c r="E27"/>
    </row>
    <row r="28" spans="3:5">
      <c r="C28"/>
      <c r="E28"/>
    </row>
    <row r="29" spans="3:5">
      <c r="C29"/>
      <c r="E29"/>
    </row>
    <row r="30" spans="3:5">
      <c r="C30"/>
      <c r="E30"/>
    </row>
    <row r="31" spans="3:5">
      <c r="C31"/>
      <c r="E31"/>
    </row>
    <row r="32" spans="3:5">
      <c r="C32"/>
      <c r="E32"/>
    </row>
    <row r="33" spans="3:5">
      <c r="C33"/>
      <c r="E33"/>
    </row>
    <row r="34" spans="3:5">
      <c r="C34"/>
      <c r="E34"/>
    </row>
    <row r="35" spans="3:5">
      <c r="E35"/>
    </row>
    <row r="36" spans="3:5">
      <c r="E36"/>
    </row>
    <row r="37" spans="3:5">
      <c r="E37"/>
    </row>
  </sheetData>
  <mergeCells count="1">
    <mergeCell ref="E2:F2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6026-7F7C-4D4F-BB06-C7AB8EA028E2}">
  <dimension ref="B5:C11"/>
  <sheetViews>
    <sheetView workbookViewId="0">
      <selection activeCell="C2" sqref="C2"/>
    </sheetView>
  </sheetViews>
  <sheetFormatPr defaultRowHeight="15"/>
  <cols>
    <col min="1" max="1" width="15.7109375" bestFit="1" customWidth="1"/>
    <col min="2" max="2" width="20.140625" customWidth="1"/>
    <col min="3" max="3" width="17.140625" customWidth="1"/>
    <col min="4" max="4" width="18.42578125" customWidth="1"/>
  </cols>
  <sheetData>
    <row r="5" spans="2:3">
      <c r="B5" s="17" t="s">
        <v>2</v>
      </c>
      <c r="C5" s="1" t="s">
        <v>1037</v>
      </c>
    </row>
    <row r="6" spans="2:3">
      <c r="B6" s="1" t="s">
        <v>16</v>
      </c>
      <c r="C6" s="28">
        <v>0.21546715821003604</v>
      </c>
    </row>
    <row r="7" spans="2:3">
      <c r="B7" s="1" t="s">
        <v>45</v>
      </c>
      <c r="C7" s="28">
        <v>0.2149487335626471</v>
      </c>
    </row>
    <row r="8" spans="2:3">
      <c r="B8" s="1" t="s">
        <v>13</v>
      </c>
      <c r="C8" s="28">
        <v>0.16512236467470912</v>
      </c>
    </row>
    <row r="9" spans="2:3">
      <c r="B9" s="1" t="s">
        <v>20</v>
      </c>
      <c r="C9" s="28">
        <v>0.20911439903885717</v>
      </c>
    </row>
    <row r="10" spans="2:3">
      <c r="B10" s="1" t="s">
        <v>22</v>
      </c>
      <c r="C10" s="28">
        <v>0.1953473445137506</v>
      </c>
    </row>
    <row r="11" spans="2:3">
      <c r="B11" s="1" t="s">
        <v>1024</v>
      </c>
      <c r="C11" s="28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2026-04-19T04:08:51Z</dcterms:created>
  <dcterms:modified xsi:type="dcterms:W3CDTF">2026-04-19T13:55:01Z</dcterms:modified>
  <cp:category/>
  <cp:contentStatus/>
</cp:coreProperties>
</file>